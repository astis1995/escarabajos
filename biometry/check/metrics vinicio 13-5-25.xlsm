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eb\escarabajos\biometry\check\"/>
    </mc:Choice>
  </mc:AlternateContent>
  <xr:revisionPtr revIDLastSave="0" documentId="13_ncr:9_{D3B5FBE4-531D-4B4D-9918-59DFE648151F}" xr6:coauthVersionLast="47" xr6:coauthVersionMax="47" xr10:uidLastSave="{00000000-0000-0000-0000-000000000000}"/>
  <bookViews>
    <workbookView xWindow="-120" yWindow="-120" windowWidth="24240" windowHeight="13020" activeTab="2" xr2:uid="{657C744C-1910-47C1-A426-6A9B68FD90D2}"/>
  </bookViews>
  <sheets>
    <sheet name="metrics" sheetId="1" r:id="rId1"/>
    <sheet name="by species" sheetId="3" r:id="rId2"/>
    <sheet name="averages" sheetId="2" r:id="rId3"/>
  </sheets>
  <functionGroups builtInGroupCount="19"/>
  <definedNames>
    <definedName name="_xlnm._FilterDatabase" localSheetId="0" hidden="1">metrics!$B$1:$B$43</definedName>
  </definedNames>
  <calcPr calcId="191029"/>
</workbook>
</file>

<file path=xl/calcChain.xml><?xml version="1.0" encoding="utf-8"?>
<calcChain xmlns="http://schemas.openxmlformats.org/spreadsheetml/2006/main">
  <c r="AO10" i="2" l="1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6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17" i="2"/>
  <c r="B17" i="2"/>
</calcChain>
</file>

<file path=xl/sharedStrings.xml><?xml version="1.0" encoding="utf-8"?>
<sst xmlns="http://schemas.openxmlformats.org/spreadsheetml/2006/main" count="286" uniqueCount="106">
  <si>
    <t>code</t>
  </si>
  <si>
    <t>A1</t>
  </si>
  <si>
    <t>A2</t>
  </si>
  <si>
    <t>A3</t>
  </si>
  <si>
    <t>A4</t>
  </si>
  <si>
    <t>A5</t>
  </si>
  <si>
    <t>B1</t>
  </si>
  <si>
    <t>B2</t>
  </si>
  <si>
    <t>B3</t>
  </si>
  <si>
    <t>B4</t>
  </si>
  <si>
    <t>B5</t>
  </si>
  <si>
    <t>C1</t>
  </si>
  <si>
    <t>D1</t>
  </si>
  <si>
    <t>D2</t>
  </si>
  <si>
    <t>D3</t>
  </si>
  <si>
    <t>D4</t>
  </si>
  <si>
    <t>E1</t>
  </si>
  <si>
    <t>E2</t>
  </si>
  <si>
    <t>F1</t>
  </si>
  <si>
    <t>F2</t>
  </si>
  <si>
    <t>F3</t>
  </si>
  <si>
    <t>F4</t>
  </si>
  <si>
    <t>F5</t>
  </si>
  <si>
    <t>W2</t>
  </si>
  <si>
    <t>W3</t>
  </si>
  <si>
    <t>W4</t>
  </si>
  <si>
    <t>W5</t>
  </si>
  <si>
    <t>W6</t>
  </si>
  <si>
    <t>W7</t>
  </si>
  <si>
    <t>W9</t>
  </si>
  <si>
    <t>W10</t>
  </si>
  <si>
    <t>W13</t>
  </si>
  <si>
    <t>A1Ã·A3</t>
  </si>
  <si>
    <t>A4Ã·A3</t>
  </si>
  <si>
    <t>A5Ã·A3</t>
  </si>
  <si>
    <t>B4Ã·B1</t>
  </si>
  <si>
    <t>B4Ã·B2</t>
  </si>
  <si>
    <t>B4Ã·B3</t>
  </si>
  <si>
    <t>D3Ã·D1</t>
  </si>
  <si>
    <t>D4Ã·D2</t>
  </si>
  <si>
    <t>E1Ã·E2</t>
  </si>
  <si>
    <t>CICIMAUCR0001</t>
  </si>
  <si>
    <t>CICIMAUCR0002</t>
  </si>
  <si>
    <t>CICIMAUCR0003</t>
  </si>
  <si>
    <t>CICIMAUCR0004</t>
  </si>
  <si>
    <t>CICIMAUCR0006</t>
  </si>
  <si>
    <t>CICIMAUCR0008</t>
  </si>
  <si>
    <t>CICIMAUCR0009</t>
  </si>
  <si>
    <t>CICIMAUCR0097</t>
  </si>
  <si>
    <t>CICIMAUCR0105</t>
  </si>
  <si>
    <t>CICIMAUCR0113</t>
  </si>
  <si>
    <t>CICIMAUCR0116</t>
  </si>
  <si>
    <t>CICIMAUCR0201</t>
  </si>
  <si>
    <t>CICIMAUCR0204</t>
  </si>
  <si>
    <t>CICIMAUCR0205</t>
  </si>
  <si>
    <t>CICIMAUCR0209</t>
  </si>
  <si>
    <t>CICIMAUCR0210</t>
  </si>
  <si>
    <t>CICIMAUCR0212</t>
  </si>
  <si>
    <t>CICIMAUCR0213</t>
  </si>
  <si>
    <t>CICIMAUCR0214</t>
  </si>
  <si>
    <t>CICIMAUCR0215</t>
  </si>
  <si>
    <t>CICIMAUCR0223</t>
  </si>
  <si>
    <t>CICIMAUCR0225</t>
  </si>
  <si>
    <t>CICIMAUCR0232</t>
  </si>
  <si>
    <t>CICIMAUCR0233</t>
  </si>
  <si>
    <t>CICIMAUCR0234</t>
  </si>
  <si>
    <t>CICIMAUCR0235</t>
  </si>
  <si>
    <t>CICIMAUCR0236</t>
  </si>
  <si>
    <t>CICIMAUCR0239</t>
  </si>
  <si>
    <t>CICIMAUCR0240</t>
  </si>
  <si>
    <t>CICIMAUCR0242</t>
  </si>
  <si>
    <t>CICIMAUCR0245</t>
  </si>
  <si>
    <t>CICIMAUCR0247</t>
  </si>
  <si>
    <t>CICIMAUCR0248</t>
  </si>
  <si>
    <t>CICIMAUCR0250</t>
  </si>
  <si>
    <t>CICIMAUCR0251</t>
  </si>
  <si>
    <t>CICIMAUCR0252</t>
  </si>
  <si>
    <t>CICIMAUCR0253</t>
  </si>
  <si>
    <t>CICIMAUCR0254</t>
  </si>
  <si>
    <t>CICIMAUCR0257</t>
  </si>
  <si>
    <t>CICIMAUCR0258</t>
  </si>
  <si>
    <t>CICIMAUCR0260</t>
  </si>
  <si>
    <t>CICIMAUCR0261</t>
  </si>
  <si>
    <t>std</t>
  </si>
  <si>
    <t>count</t>
  </si>
  <si>
    <t>A1/A3</t>
  </si>
  <si>
    <t>A4/A3</t>
  </si>
  <si>
    <t>A5/A3</t>
  </si>
  <si>
    <t>B4/B1</t>
  </si>
  <si>
    <t>B4/B2</t>
  </si>
  <si>
    <t>B4/B3</t>
  </si>
  <si>
    <t>D3/D1</t>
  </si>
  <si>
    <t>D4/D2</t>
  </si>
  <si>
    <t>E1/E2</t>
  </si>
  <si>
    <t>average_general</t>
  </si>
  <si>
    <t>species</t>
  </si>
  <si>
    <t>kalinini</t>
  </si>
  <si>
    <t>cupreomarginata</t>
  </si>
  <si>
    <t>resplendens</t>
  </si>
  <si>
    <t>average_resplendens</t>
  </si>
  <si>
    <t>average_kalinini</t>
  </si>
  <si>
    <t>std_resplendens</t>
  </si>
  <si>
    <t>std_kalinini</t>
  </si>
  <si>
    <t>metric</t>
  </si>
  <si>
    <t>count_resplendens</t>
  </si>
  <si>
    <t>count_kalinini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</si>
</sst>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0" borderId="10" xfId="0" applyFont="1" applyBorder="1" applyAlignment="1">
      <alignment wrapText="1"/>
    </xf>
    <xf numFmtId="0" fontId="18" fillId="0" borderId="0" xfId="0" applyFont="1"/>
    <xf numFmtId="0" fontId="18" fillId="0" borderId="0" xfId="0" applyFont="1" applyFill="1" applyBorder="1"/>
    <xf numFmtId="0" fontId="13" fillId="33" borderId="11" xfId="0" applyFont="1" applyFill="1" applyBorder="1"/>
    <xf numFmtId="0" fontId="13" fillId="33" borderId="12" xfId="0" applyFont="1" applyFill="1" applyBorder="1"/>
    <xf numFmtId="0" fontId="0" fillId="34" borderId="11" xfId="0" applyFont="1" applyFill="1" applyBorder="1"/>
    <xf numFmtId="0" fontId="0" fillId="34" borderId="12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18" fillId="0" borderId="10" xfId="0" applyFont="1" applyBorder="1"/>
    <xf numFmtId="0" fontId="18" fillId="0" borderId="0" xfId="0" applyFont="1" applyBorder="1" applyAlignment="1">
      <alignment wrapText="1"/>
    </xf>
    <xf numFmtId="0" fontId="18" fillId="0" borderId="10" xfId="0" applyFont="1" applyFill="1" applyBorder="1"/>
    <xf numFmtId="0" fontId="13" fillId="33" borderId="13" xfId="0" applyFont="1" applyFill="1" applyBorder="1"/>
    <xf numFmtId="0" fontId="0" fillId="34" borderId="13" xfId="0" applyFont="1" applyFill="1" applyBorder="1"/>
    <xf numFmtId="0" fontId="0" fillId="0" borderId="13" xfId="0" applyFont="1" applyBorder="1"/>
    <xf numFmtId="0" fontId="18" fillId="34" borderId="10" xfId="0" applyFont="1" applyFill="1" applyBorder="1" applyAlignment="1">
      <alignment wrapText="1"/>
    </xf>
    <xf numFmtId="0" fontId="18" fillId="0" borderId="12" xfId="0" applyFont="1" applyBorder="1" applyAlignment="1">
      <alignment wrapText="1"/>
    </xf>
    <xf numFmtId="0" fontId="18" fillId="34" borderId="12" xfId="0" applyFont="1" applyFill="1" applyBorder="1" applyAlignment="1">
      <alignment wrapText="1"/>
    </xf>
    <xf numFmtId="0" fontId="18" fillId="0" borderId="12" xfId="0" applyFont="1" applyBorder="1"/>
    <xf numFmtId="0" fontId="18" fillId="34" borderId="12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AFE01F-653C-4CA2-A3CB-059D71854980}" name="Table2" displayName="Table2" ref="A1:AP43" totalsRowShown="0">
  <autoFilter ref="A1:AP43" xr:uid="{B7AFE01F-653C-4CA2-A3CB-059D71854980}"/>
  <sortState xmlns:xlrd2="http://schemas.microsoft.com/office/spreadsheetml/2017/richdata2" ref="A2:AP43">
    <sortCondition ref="B1:B43"/>
  </sortState>
  <tableColumns count="42">
    <tableColumn id="1" xr3:uid="{422C22DB-F68E-4865-B3A4-D5EC93FBDD52}" name="code"/>
    <tableColumn id="2" xr3:uid="{9F9C1B1B-9C2F-4037-9A83-816244973207}" name="species" dataDxfId="0"/>
    <tableColumn id="3" xr3:uid="{AE41092F-3642-405B-80E0-08F3E41B8B2C}" name="A1"/>
    <tableColumn id="4" xr3:uid="{029F7001-0D02-4454-A5A3-EDF0725546CC}" name="A2"/>
    <tableColumn id="5" xr3:uid="{5B4AB3FA-326C-4EA3-8643-98850F147199}" name="A3"/>
    <tableColumn id="6" xr3:uid="{C54004D0-8E1B-4789-9B80-9480AB8F0041}" name="A4"/>
    <tableColumn id="7" xr3:uid="{E7180C30-8D9F-4E67-9463-3852C86E7EDF}" name="A5"/>
    <tableColumn id="8" xr3:uid="{A0196E4B-2C04-4593-BDA3-7305E0C34996}" name="B1"/>
    <tableColumn id="9" xr3:uid="{A688D28C-A07B-4E70-9CA3-01952413B539}" name="B2"/>
    <tableColumn id="10" xr3:uid="{AD25F8E5-25D5-49B2-AE10-EC8B79D30E32}" name="B3"/>
    <tableColumn id="11" xr3:uid="{108BAD27-7D86-4A67-AE6A-7E1BC79E0648}" name="B4"/>
    <tableColumn id="12" xr3:uid="{C266C328-2588-4653-9861-E28E6F48ABE7}" name="B5"/>
    <tableColumn id="13" xr3:uid="{11B81095-CB44-46B9-9593-DB3C0FE751A1}" name="C1"/>
    <tableColumn id="14" xr3:uid="{97F2CC0D-9F2B-44C3-A89E-B07936E08EDD}" name="D1"/>
    <tableColumn id="15" xr3:uid="{CB6D45BB-BEA0-43B7-8A80-6AEAF90DA5EE}" name="D2"/>
    <tableColumn id="16" xr3:uid="{4E678FEC-9B38-466F-BB3A-6E3AADBD685A}" name="D3"/>
    <tableColumn id="17" xr3:uid="{5AD38B9F-B0D1-46AF-912D-261FF6396277}" name="D4"/>
    <tableColumn id="18" xr3:uid="{8A47B35B-43FC-4D1E-9E5D-53695E5B0B2B}" name="E1"/>
    <tableColumn id="19" xr3:uid="{1CA75B5A-B931-436C-BD6D-7D6B70C27507}" name="E2"/>
    <tableColumn id="20" xr3:uid="{0FCD7CBC-4B35-46B6-80AB-92348A80978D}" name="F1"/>
    <tableColumn id="21" xr3:uid="{A58FFBF1-5FC3-448E-ACCA-AF9357CB1C03}" name="F2"/>
    <tableColumn id="22" xr3:uid="{3FA3B663-804C-4631-9F55-AB6FB3A7D3AD}" name="F3"/>
    <tableColumn id="23" xr3:uid="{7A746CEB-A7C1-42F4-B546-2F85BC75CA15}" name="F4"/>
    <tableColumn id="24" xr3:uid="{298B587D-9B09-4DF1-8CA3-3C0305BDF80D}" name="F5"/>
    <tableColumn id="25" xr3:uid="{2522342C-3551-4E5C-AFD1-25492FD70E08}" name="W2"/>
    <tableColumn id="26" xr3:uid="{0CC5A7CF-CE4E-477F-A701-88BC672B01F3}" name="W3"/>
    <tableColumn id="27" xr3:uid="{B69BE07C-66B8-4FCA-8162-48C1CE426A3A}" name="W4"/>
    <tableColumn id="28" xr3:uid="{3F5D27C5-44B5-4445-9206-DDD67EA3B208}" name="W5"/>
    <tableColumn id="29" xr3:uid="{8C32132E-DE13-4582-8249-ACC889E66C3B}" name="W6"/>
    <tableColumn id="30" xr3:uid="{035FD5D8-C2C2-4804-B33C-360231F64C94}" name="W7"/>
    <tableColumn id="31" xr3:uid="{71E9F45C-4088-4E87-B5B9-6DE9B5227405}" name="W9"/>
    <tableColumn id="32" xr3:uid="{AF2B2F76-B500-4A25-81A8-6ACD5B4E71D0}" name="W10"/>
    <tableColumn id="33" xr3:uid="{7DB318BE-1B7C-49A6-91FE-69342C8C0254}" name="W13"/>
    <tableColumn id="34" xr3:uid="{E268A6E0-DDC5-48DA-A7CD-A7EBDE1C460A}" name="A1Ã·A3"/>
    <tableColumn id="35" xr3:uid="{74147282-3F74-4719-A72F-8F84B22E76F8}" name="A4Ã·A3"/>
    <tableColumn id="36" xr3:uid="{5D240980-4360-4CBA-9797-A598BA0AC198}" name="A5Ã·A3"/>
    <tableColumn id="37" xr3:uid="{B72B6A5A-AB0C-4A2B-8FAA-217AA0D59A93}" name="B4Ã·B1"/>
    <tableColumn id="38" xr3:uid="{99C421B7-A7E0-4065-A8D1-AB5347C8130C}" name="B4Ã·B2"/>
    <tableColumn id="39" xr3:uid="{1CB849EC-B3BA-446E-A799-5DB7CE50168C}" name="B4Ã·B3"/>
    <tableColumn id="40" xr3:uid="{9972BF91-A2CA-4905-AE35-8301DA7D1AA5}" name="D3Ã·D1"/>
    <tableColumn id="41" xr3:uid="{FDB76A50-D645-4631-8A93-0D63B02A91B9}" name="D4Ã·D2"/>
    <tableColumn id="42" xr3:uid="{7EAFD817-2C36-4181-B547-79BA12BA5EBD}" name="E1Ã·E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8165F-6223-4B04-B99B-8785041180BF}">
  <sheetPr codeName="Sheet1"/>
  <dimension ref="A1:AP43"/>
  <sheetViews>
    <sheetView topLeftCell="A13" zoomScale="70" zoomScaleNormal="70" workbookViewId="0">
      <selection activeCell="B31" sqref="B31"/>
    </sheetView>
  </sheetViews>
  <sheetFormatPr defaultRowHeight="15" x14ac:dyDescent="0.25"/>
  <cols>
    <col min="1" max="1" width="20.5703125" customWidth="1"/>
    <col min="2" max="2" width="17" customWidth="1"/>
    <col min="34" max="34" width="11.5703125" customWidth="1"/>
    <col min="35" max="36" width="12" customWidth="1"/>
    <col min="37" max="37" width="11.5703125" customWidth="1"/>
    <col min="38" max="39" width="12" customWidth="1"/>
    <col min="40" max="40" width="11.5703125" customWidth="1"/>
    <col min="41" max="41" width="12" customWidth="1"/>
    <col min="42" max="42" width="11.28515625" customWidth="1"/>
  </cols>
  <sheetData>
    <row r="1" spans="1:42" ht="15.75" thickBot="1" x14ac:dyDescent="0.3">
      <c r="A1" t="s">
        <v>0</v>
      </c>
      <c r="B1" t="s">
        <v>95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</row>
    <row r="2" spans="1:42" ht="15.75" thickBot="1" x14ac:dyDescent="0.3">
      <c r="A2" t="s">
        <v>52</v>
      </c>
      <c r="B2" s="10" t="s">
        <v>97</v>
      </c>
      <c r="C2">
        <v>4292.3500000000004</v>
      </c>
      <c r="D2">
        <v>3605.92</v>
      </c>
      <c r="E2">
        <v>4569.68</v>
      </c>
      <c r="F2">
        <v>2042.05</v>
      </c>
      <c r="G2">
        <v>1535.29</v>
      </c>
      <c r="H2">
        <v>5393.3</v>
      </c>
      <c r="I2">
        <v>7735.71</v>
      </c>
      <c r="J2">
        <v>8334.01</v>
      </c>
      <c r="K2">
        <v>4970.78</v>
      </c>
      <c r="L2">
        <v>154.68</v>
      </c>
      <c r="M2">
        <v>147.53</v>
      </c>
      <c r="N2">
        <v>1243.7</v>
      </c>
      <c r="O2">
        <v>583.16999999999996</v>
      </c>
      <c r="P2">
        <v>1620.34</v>
      </c>
      <c r="Q2">
        <v>654.75</v>
      </c>
      <c r="R2">
        <v>456.69</v>
      </c>
      <c r="S2">
        <v>678.55</v>
      </c>
      <c r="T2">
        <v>1521.63</v>
      </c>
      <c r="U2">
        <v>1563.57</v>
      </c>
      <c r="V2">
        <v>1633.22</v>
      </c>
      <c r="W2">
        <v>2054.69</v>
      </c>
      <c r="X2">
        <v>1502.86</v>
      </c>
      <c r="Y2">
        <v>0.93931084889970395</v>
      </c>
      <c r="Z2">
        <v>0.44686936503212399</v>
      </c>
      <c r="AA2">
        <v>0.335973197247947</v>
      </c>
      <c r="AB2">
        <v>0.92165835388352202</v>
      </c>
      <c r="AC2">
        <v>0.64257579459416103</v>
      </c>
      <c r="AD2">
        <v>0.59644516865230501</v>
      </c>
      <c r="AE2">
        <v>0.46889925223124501</v>
      </c>
      <c r="AF2">
        <v>0.35990594566572398</v>
      </c>
      <c r="AG2">
        <v>0.67303809593987096</v>
      </c>
      <c r="AH2">
        <v>0.93931084889970395</v>
      </c>
      <c r="AI2">
        <v>0.44686936503212399</v>
      </c>
      <c r="AJ2">
        <v>0.335973197247947</v>
      </c>
      <c r="AK2">
        <v>0.92165835388352202</v>
      </c>
      <c r="AL2">
        <v>0.64257579459416103</v>
      </c>
      <c r="AM2">
        <v>0.59644516865230501</v>
      </c>
      <c r="AN2">
        <v>1.3028383050574801</v>
      </c>
      <c r="AO2">
        <v>1.12274293945161</v>
      </c>
      <c r="AP2">
        <v>0.67303809593987096</v>
      </c>
    </row>
    <row r="3" spans="1:42" ht="15.75" thickBot="1" x14ac:dyDescent="0.3">
      <c r="A3" t="s">
        <v>53</v>
      </c>
      <c r="B3" s="10" t="s">
        <v>97</v>
      </c>
      <c r="C3">
        <v>3625.37</v>
      </c>
      <c r="D3">
        <v>3523.25</v>
      </c>
      <c r="E3">
        <v>4620.29</v>
      </c>
      <c r="F3">
        <v>1966.12</v>
      </c>
      <c r="G3">
        <v>1403.96</v>
      </c>
      <c r="H3">
        <v>5294.75</v>
      </c>
      <c r="I3">
        <v>7291.75</v>
      </c>
      <c r="J3">
        <v>7843.09</v>
      </c>
      <c r="K3">
        <v>4606.5</v>
      </c>
      <c r="L3">
        <v>150.16999999999999</v>
      </c>
      <c r="M3">
        <v>140.66</v>
      </c>
      <c r="N3">
        <v>1301.46</v>
      </c>
      <c r="O3">
        <v>581.76</v>
      </c>
      <c r="P3">
        <v>1818.09</v>
      </c>
      <c r="Q3">
        <v>616.19000000000005</v>
      </c>
      <c r="R3">
        <v>473.99</v>
      </c>
      <c r="S3">
        <v>714.34</v>
      </c>
      <c r="T3">
        <v>1349.46</v>
      </c>
      <c r="U3">
        <v>1332.06</v>
      </c>
      <c r="V3">
        <v>1396.32</v>
      </c>
      <c r="W3">
        <v>1733.69</v>
      </c>
      <c r="X3">
        <v>1429.29</v>
      </c>
      <c r="Y3">
        <v>0.78466286748234404</v>
      </c>
      <c r="Z3">
        <v>0.42554038815745299</v>
      </c>
      <c r="AA3">
        <v>3.0301128284155E-3</v>
      </c>
      <c r="AB3">
        <v>0.87001274847726495</v>
      </c>
      <c r="AC3">
        <v>0.63174135152741095</v>
      </c>
      <c r="AD3">
        <v>0.58733228867703902</v>
      </c>
      <c r="AE3">
        <v>0.44700567055460699</v>
      </c>
      <c r="AF3">
        <v>0.31998415920003898</v>
      </c>
      <c r="AG3">
        <v>0.66353557129658103</v>
      </c>
      <c r="AH3">
        <v>0.78466286748234404</v>
      </c>
      <c r="AI3">
        <v>0.42554038815745299</v>
      </c>
      <c r="AJ3">
        <v>0.303868371898733</v>
      </c>
      <c r="AK3">
        <v>0.87001274847726495</v>
      </c>
      <c r="AL3">
        <v>0.63174135152741095</v>
      </c>
      <c r="AM3">
        <v>0.58733228867703902</v>
      </c>
      <c r="AN3">
        <v>1.39696187358812</v>
      </c>
      <c r="AO3">
        <v>1.0591824807480701</v>
      </c>
      <c r="AP3">
        <v>0.66353557129658103</v>
      </c>
    </row>
    <row r="4" spans="1:42" ht="15.75" thickBot="1" x14ac:dyDescent="0.3">
      <c r="A4" t="s">
        <v>54</v>
      </c>
      <c r="B4" s="10" t="s">
        <v>97</v>
      </c>
      <c r="C4">
        <v>4282.46</v>
      </c>
      <c r="D4">
        <v>3617.05</v>
      </c>
      <c r="E4">
        <v>4300.6099999999997</v>
      </c>
      <c r="F4">
        <v>2044.37</v>
      </c>
      <c r="G4">
        <v>1617.04</v>
      </c>
      <c r="H4">
        <v>5105.09</v>
      </c>
      <c r="I4">
        <v>7426.82</v>
      </c>
      <c r="J4">
        <v>7709.84</v>
      </c>
      <c r="K4">
        <v>4575.51</v>
      </c>
      <c r="L4">
        <v>154.12</v>
      </c>
      <c r="M4">
        <v>147.6</v>
      </c>
      <c r="N4">
        <v>1096.24</v>
      </c>
      <c r="O4">
        <v>582.6</v>
      </c>
      <c r="P4">
        <v>1622.96</v>
      </c>
      <c r="Q4">
        <v>703.63</v>
      </c>
      <c r="R4">
        <v>394.77</v>
      </c>
      <c r="S4">
        <v>591.4</v>
      </c>
      <c r="T4">
        <v>1437.14</v>
      </c>
      <c r="U4">
        <v>1484.62</v>
      </c>
      <c r="V4">
        <v>1549.31</v>
      </c>
      <c r="W4">
        <v>1994.72</v>
      </c>
      <c r="X4">
        <v>1357.51</v>
      </c>
      <c r="Y4">
        <v>0.99577966846563604</v>
      </c>
      <c r="Z4">
        <v>0.47536744787367302</v>
      </c>
      <c r="AA4">
        <v>0.37600247406763199</v>
      </c>
      <c r="AB4">
        <v>0.89626431659382999</v>
      </c>
      <c r="AC4">
        <v>0.61607929100207004</v>
      </c>
      <c r="AD4">
        <v>0.59346367758604501</v>
      </c>
      <c r="AE4">
        <v>0.53145296650368501</v>
      </c>
      <c r="AF4">
        <v>0.35897372701730101</v>
      </c>
      <c r="AG4">
        <v>0.66751775448089201</v>
      </c>
      <c r="AH4">
        <v>0.99577966846563604</v>
      </c>
      <c r="AI4">
        <v>0.47536744787367302</v>
      </c>
      <c r="AJ4">
        <v>0.37600247406763199</v>
      </c>
      <c r="AK4">
        <v>0.89626431659382999</v>
      </c>
      <c r="AL4">
        <v>0.61607929100207004</v>
      </c>
      <c r="AM4">
        <v>0.59346367758604501</v>
      </c>
      <c r="AN4">
        <v>1.4804787272859901</v>
      </c>
      <c r="AO4">
        <v>1.2077411603158199</v>
      </c>
      <c r="AP4">
        <v>0.66751775448089201</v>
      </c>
    </row>
    <row r="5" spans="1:42" ht="15.75" thickBot="1" x14ac:dyDescent="0.3">
      <c r="A5" t="s">
        <v>55</v>
      </c>
      <c r="B5" s="10" t="s">
        <v>97</v>
      </c>
      <c r="C5">
        <v>3977.82</v>
      </c>
      <c r="D5">
        <v>3630.55</v>
      </c>
      <c r="E5">
        <v>4510.62</v>
      </c>
      <c r="F5">
        <v>2088.38</v>
      </c>
      <c r="G5">
        <v>1696.3</v>
      </c>
      <c r="H5">
        <v>5515.18</v>
      </c>
      <c r="I5">
        <v>8013.08</v>
      </c>
      <c r="J5">
        <v>8641.0300000000007</v>
      </c>
      <c r="K5">
        <v>5125.18</v>
      </c>
      <c r="L5">
        <v>149.9</v>
      </c>
      <c r="M5">
        <v>151.16999999999999</v>
      </c>
      <c r="N5">
        <v>1214.3699999999999</v>
      </c>
      <c r="O5">
        <v>630.33000000000004</v>
      </c>
      <c r="P5">
        <v>1759.4</v>
      </c>
      <c r="Q5">
        <v>688.36</v>
      </c>
      <c r="R5">
        <v>355.22</v>
      </c>
      <c r="S5">
        <v>655.54</v>
      </c>
      <c r="T5">
        <v>1518.09</v>
      </c>
      <c r="U5">
        <v>1533.86</v>
      </c>
      <c r="V5">
        <v>1582.33</v>
      </c>
      <c r="W5">
        <v>2224.0300000000002</v>
      </c>
      <c r="X5">
        <v>1377.13</v>
      </c>
      <c r="Y5">
        <v>0.88187876611197502</v>
      </c>
      <c r="Z5">
        <v>0.462991783834594</v>
      </c>
      <c r="AA5">
        <v>0.37606803499297198</v>
      </c>
      <c r="AB5">
        <v>0.92928607951145703</v>
      </c>
      <c r="AC5">
        <v>0.63960175113689099</v>
      </c>
      <c r="AD5">
        <v>0.59312142186753203</v>
      </c>
      <c r="AE5">
        <v>0.51905926529805502</v>
      </c>
      <c r="AF5">
        <v>0.358264180970785</v>
      </c>
      <c r="AG5">
        <v>0.54187387497330397</v>
      </c>
      <c r="AH5">
        <v>0.88187876611197502</v>
      </c>
      <c r="AI5">
        <v>0.462991783834594</v>
      </c>
      <c r="AJ5">
        <v>0.37606803499297198</v>
      </c>
      <c r="AK5">
        <v>0.92928607951145703</v>
      </c>
      <c r="AL5">
        <v>0.63960175113689099</v>
      </c>
      <c r="AM5">
        <v>0.59312142186753203</v>
      </c>
      <c r="AN5">
        <v>1.4488170821084101</v>
      </c>
      <c r="AO5">
        <v>1.0920628876937399</v>
      </c>
      <c r="AP5">
        <v>0.54187387497330397</v>
      </c>
    </row>
    <row r="6" spans="1:42" ht="15.75" thickBot="1" x14ac:dyDescent="0.3">
      <c r="A6" t="s">
        <v>59</v>
      </c>
      <c r="B6" s="12" t="s">
        <v>97</v>
      </c>
      <c r="C6">
        <v>4155.3599999999997</v>
      </c>
      <c r="D6">
        <v>3626.48</v>
      </c>
      <c r="E6">
        <v>4591.87</v>
      </c>
      <c r="F6">
        <v>1952.57</v>
      </c>
      <c r="G6">
        <v>1549.09</v>
      </c>
      <c r="H6">
        <v>5360.05</v>
      </c>
      <c r="I6">
        <v>7748.28</v>
      </c>
      <c r="J6">
        <v>8312.4699999999993</v>
      </c>
      <c r="K6">
        <v>4969.8500000000004</v>
      </c>
      <c r="L6">
        <v>154.41</v>
      </c>
      <c r="M6">
        <v>152.34</v>
      </c>
      <c r="N6">
        <v>1073.43</v>
      </c>
      <c r="O6">
        <v>598.08000000000004</v>
      </c>
      <c r="P6">
        <v>1777.91</v>
      </c>
      <c r="Q6">
        <v>745.05</v>
      </c>
      <c r="R6">
        <v>482.73</v>
      </c>
      <c r="S6">
        <v>719.84</v>
      </c>
      <c r="T6">
        <v>1517.74</v>
      </c>
      <c r="U6">
        <v>1553.09</v>
      </c>
      <c r="V6">
        <v>1549.71</v>
      </c>
      <c r="W6">
        <v>1923.3</v>
      </c>
      <c r="X6">
        <v>1513.38</v>
      </c>
      <c r="Y6">
        <v>0.90493851088989796</v>
      </c>
      <c r="Z6">
        <v>0.42522327504916202</v>
      </c>
      <c r="AA6">
        <v>0.33735493382870102</v>
      </c>
      <c r="AB6">
        <v>0.92720217162153296</v>
      </c>
      <c r="AC6">
        <v>0.64141332011749697</v>
      </c>
      <c r="AD6">
        <v>0.59787884948757697</v>
      </c>
      <c r="AE6">
        <v>0.55716721164864003</v>
      </c>
      <c r="AF6">
        <v>0.33639498062331602</v>
      </c>
      <c r="AG6">
        <v>0.67060735719048603</v>
      </c>
      <c r="AH6">
        <v>0.90493851088989796</v>
      </c>
      <c r="AI6">
        <v>0.42522327504916202</v>
      </c>
      <c r="AJ6">
        <v>0.33735493382870102</v>
      </c>
      <c r="AK6">
        <v>0.92720217162153296</v>
      </c>
      <c r="AL6">
        <v>0.64141332011749697</v>
      </c>
      <c r="AM6">
        <v>0.59787884948757697</v>
      </c>
      <c r="AN6">
        <v>1.65628871933894</v>
      </c>
      <c r="AO6">
        <v>1.2457363563402799</v>
      </c>
      <c r="AP6">
        <v>0.67060735719048603</v>
      </c>
    </row>
    <row r="7" spans="1:42" ht="15.75" thickBot="1" x14ac:dyDescent="0.3">
      <c r="A7" t="s">
        <v>60</v>
      </c>
      <c r="B7" s="12" t="s">
        <v>97</v>
      </c>
      <c r="C7">
        <v>3932.54</v>
      </c>
      <c r="D7">
        <v>3454.26</v>
      </c>
      <c r="E7">
        <v>4506.32</v>
      </c>
      <c r="F7">
        <v>2039.24</v>
      </c>
      <c r="G7">
        <v>1509</v>
      </c>
      <c r="H7">
        <v>5225.79</v>
      </c>
      <c r="I7">
        <v>7510.98</v>
      </c>
      <c r="J7">
        <v>7996.26</v>
      </c>
      <c r="K7">
        <v>4824.0600000000004</v>
      </c>
      <c r="L7">
        <v>155.69999999999999</v>
      </c>
      <c r="M7">
        <v>148.44</v>
      </c>
      <c r="N7">
        <v>1350.89</v>
      </c>
      <c r="O7">
        <v>507.28</v>
      </c>
      <c r="P7">
        <v>1554.09</v>
      </c>
      <c r="Q7">
        <v>645.77</v>
      </c>
      <c r="R7">
        <v>424.08</v>
      </c>
      <c r="S7">
        <v>623.66999999999996</v>
      </c>
      <c r="T7">
        <v>1434.75</v>
      </c>
      <c r="U7">
        <v>1472.71</v>
      </c>
      <c r="V7">
        <v>1570.74</v>
      </c>
      <c r="W7">
        <v>1923.89</v>
      </c>
      <c r="X7">
        <v>1605.95</v>
      </c>
      <c r="Y7">
        <v>0.87267215821335298</v>
      </c>
      <c r="Z7">
        <v>0.45252889275506403</v>
      </c>
      <c r="AA7">
        <v>0.33486303680164697</v>
      </c>
      <c r="AB7">
        <v>0.92312549872842198</v>
      </c>
      <c r="AC7">
        <v>0.64226772005783495</v>
      </c>
      <c r="AD7">
        <v>0.60328953785894901</v>
      </c>
      <c r="AE7">
        <v>0.37551540095788699</v>
      </c>
      <c r="AF7">
        <v>0.326416102027553</v>
      </c>
      <c r="AG7">
        <v>0.67997498677184998</v>
      </c>
      <c r="AH7">
        <v>0.87267215821335298</v>
      </c>
      <c r="AI7">
        <v>0.45252889275506403</v>
      </c>
      <c r="AJ7">
        <v>0.33486303680164697</v>
      </c>
      <c r="AK7">
        <v>0.92312549872842198</v>
      </c>
      <c r="AL7">
        <v>0.64226772005783495</v>
      </c>
      <c r="AM7">
        <v>0.60328953785894901</v>
      </c>
      <c r="AN7">
        <v>1.15041935316717</v>
      </c>
      <c r="AO7">
        <v>1.2730050465226299</v>
      </c>
      <c r="AP7">
        <v>0.67997498677184998</v>
      </c>
    </row>
    <row r="8" spans="1:42" ht="15.75" thickBot="1" x14ac:dyDescent="0.3">
      <c r="A8" t="s">
        <v>68</v>
      </c>
      <c r="B8" s="10" t="s">
        <v>97</v>
      </c>
      <c r="C8">
        <v>3993.01</v>
      </c>
      <c r="D8">
        <v>3451.58</v>
      </c>
      <c r="E8">
        <v>4412.92</v>
      </c>
      <c r="F8">
        <v>1921.19</v>
      </c>
      <c r="G8">
        <v>1460.53</v>
      </c>
      <c r="H8">
        <v>5058.62</v>
      </c>
      <c r="I8">
        <v>7130.95</v>
      </c>
      <c r="J8">
        <v>7786.21</v>
      </c>
      <c r="K8">
        <v>4749.16</v>
      </c>
      <c r="L8">
        <v>154.49</v>
      </c>
      <c r="M8">
        <v>148.65</v>
      </c>
      <c r="N8">
        <v>1002.86</v>
      </c>
      <c r="O8">
        <v>575.34</v>
      </c>
      <c r="P8">
        <v>1626.57</v>
      </c>
      <c r="Q8">
        <v>766.41</v>
      </c>
      <c r="R8">
        <v>329.16</v>
      </c>
      <c r="S8">
        <v>589.83000000000004</v>
      </c>
      <c r="T8">
        <v>1480.71</v>
      </c>
      <c r="U8">
        <v>1459.15</v>
      </c>
      <c r="V8">
        <v>1521.4</v>
      </c>
      <c r="W8">
        <v>1892.95</v>
      </c>
      <c r="X8">
        <v>1083.08</v>
      </c>
      <c r="Y8">
        <v>0.904845317839435</v>
      </c>
      <c r="Z8">
        <v>0.43535572817997997</v>
      </c>
      <c r="AA8">
        <v>0.33096679749462898</v>
      </c>
      <c r="AB8">
        <v>0.93882521320043799</v>
      </c>
      <c r="AC8">
        <v>0.66599260968033702</v>
      </c>
      <c r="AD8">
        <v>0.60994501817957603</v>
      </c>
      <c r="AE8">
        <v>0.57369922023014097</v>
      </c>
      <c r="AF8">
        <v>0.35371364281893802</v>
      </c>
      <c r="AG8">
        <v>0.558059101775087</v>
      </c>
      <c r="AH8">
        <v>0.904845317839435</v>
      </c>
      <c r="AI8">
        <v>0.43535572817997997</v>
      </c>
      <c r="AJ8">
        <v>0.33096679749462898</v>
      </c>
      <c r="AK8">
        <v>0.93882521320043799</v>
      </c>
      <c r="AL8">
        <v>0.66599260968033702</v>
      </c>
      <c r="AM8">
        <v>0.60994501817957603</v>
      </c>
      <c r="AN8">
        <v>1.6219312765490601</v>
      </c>
      <c r="AO8">
        <v>1.3320992804254801</v>
      </c>
      <c r="AP8">
        <v>0.558059101775087</v>
      </c>
    </row>
    <row r="9" spans="1:42" ht="15.75" thickBot="1" x14ac:dyDescent="0.3">
      <c r="A9" t="s">
        <v>70</v>
      </c>
      <c r="B9" s="10" t="s">
        <v>97</v>
      </c>
      <c r="C9">
        <v>4059.67</v>
      </c>
      <c r="D9">
        <v>3464.7</v>
      </c>
      <c r="E9">
        <v>4548.93</v>
      </c>
      <c r="F9">
        <v>1885.55</v>
      </c>
      <c r="G9">
        <v>1476.65</v>
      </c>
      <c r="H9">
        <v>5238.18</v>
      </c>
      <c r="I9">
        <v>7222.69</v>
      </c>
      <c r="J9">
        <v>7782.68</v>
      </c>
      <c r="K9">
        <v>4678.6499999999996</v>
      </c>
      <c r="L9">
        <v>155.08000000000001</v>
      </c>
      <c r="M9">
        <v>154.77000000000001</v>
      </c>
      <c r="N9">
        <v>1052.57</v>
      </c>
      <c r="O9">
        <v>540.30999999999995</v>
      </c>
      <c r="P9">
        <v>1495.3</v>
      </c>
      <c r="Q9">
        <v>699.28</v>
      </c>
      <c r="R9">
        <v>410.34</v>
      </c>
      <c r="S9">
        <v>643.30999999999995</v>
      </c>
      <c r="T9">
        <v>1321.95</v>
      </c>
      <c r="U9">
        <v>1451.11</v>
      </c>
      <c r="V9">
        <v>1503.62</v>
      </c>
      <c r="W9">
        <v>2024.9</v>
      </c>
      <c r="X9">
        <v>1460.69</v>
      </c>
      <c r="Y9">
        <v>0.89244503652507201</v>
      </c>
      <c r="Z9">
        <v>0.414504070187934</v>
      </c>
      <c r="AA9">
        <v>0.32461479952428302</v>
      </c>
      <c r="AB9">
        <v>0.89318236486718605</v>
      </c>
      <c r="AC9">
        <v>0.64777112128583603</v>
      </c>
      <c r="AD9">
        <v>0.601161810584528</v>
      </c>
      <c r="AE9">
        <v>0.51332452948497398</v>
      </c>
      <c r="AF9">
        <v>0.36133886176686902</v>
      </c>
      <c r="AG9">
        <v>0.63785733161306302</v>
      </c>
      <c r="AH9">
        <v>0.89244503652507201</v>
      </c>
      <c r="AI9">
        <v>0.414504070187934</v>
      </c>
      <c r="AJ9">
        <v>0.32461479952428302</v>
      </c>
      <c r="AK9">
        <v>0.89318236486718605</v>
      </c>
      <c r="AL9">
        <v>0.64777112128583603</v>
      </c>
      <c r="AM9">
        <v>0.601161810584528</v>
      </c>
      <c r="AN9">
        <v>1.42061810615921</v>
      </c>
      <c r="AO9">
        <v>1.2942199848235201</v>
      </c>
      <c r="AP9">
        <v>0.63785733161306302</v>
      </c>
    </row>
    <row r="10" spans="1:42" ht="15.75" thickBot="1" x14ac:dyDescent="0.3">
      <c r="A10" t="s">
        <v>41</v>
      </c>
      <c r="B10" s="1" t="s">
        <v>96</v>
      </c>
      <c r="C10">
        <v>4120.58</v>
      </c>
      <c r="D10">
        <v>3511.41</v>
      </c>
      <c r="E10">
        <v>4674.6099999999997</v>
      </c>
      <c r="F10">
        <v>1430.02</v>
      </c>
      <c r="G10">
        <v>1958.09</v>
      </c>
      <c r="H10">
        <v>5525.11</v>
      </c>
      <c r="I10">
        <v>7967.86</v>
      </c>
      <c r="J10">
        <v>8652.41</v>
      </c>
      <c r="K10">
        <v>5101.49</v>
      </c>
      <c r="L10">
        <v>155.26</v>
      </c>
      <c r="M10">
        <v>159.01</v>
      </c>
      <c r="N10">
        <v>1126.18</v>
      </c>
      <c r="O10">
        <v>734.86</v>
      </c>
      <c r="P10">
        <v>2132.02</v>
      </c>
      <c r="Q10">
        <v>680.01</v>
      </c>
      <c r="R10">
        <v>579.64</v>
      </c>
      <c r="S10">
        <v>713.8</v>
      </c>
      <c r="T10">
        <v>1385.64</v>
      </c>
      <c r="U10">
        <v>1399.18</v>
      </c>
      <c r="V10">
        <v>1475.44</v>
      </c>
      <c r="W10">
        <v>1857.42</v>
      </c>
      <c r="X10">
        <v>1662.46</v>
      </c>
      <c r="Y10">
        <v>0.88148102194621503</v>
      </c>
      <c r="Z10">
        <v>0.30591215096018698</v>
      </c>
      <c r="AA10">
        <v>0.41887772455883998</v>
      </c>
      <c r="AB10">
        <v>0.92332822332949005</v>
      </c>
      <c r="AC10">
        <v>0.64025848847745803</v>
      </c>
      <c r="AD10">
        <v>0.58960335906412198</v>
      </c>
      <c r="AE10">
        <v>0.65252446322967905</v>
      </c>
      <c r="AF10">
        <v>0.34467781728126301</v>
      </c>
      <c r="AG10">
        <v>0.81204819277108398</v>
      </c>
      <c r="AH10">
        <v>0.88148102194621503</v>
      </c>
      <c r="AI10">
        <v>0.30591215096018698</v>
      </c>
      <c r="AJ10">
        <v>0.41887772455883998</v>
      </c>
      <c r="AK10">
        <v>0.92332822332949005</v>
      </c>
      <c r="AL10">
        <v>0.64025848847745803</v>
      </c>
      <c r="AM10">
        <v>0.58960335906412198</v>
      </c>
      <c r="AN10">
        <v>1.8931431920296899</v>
      </c>
      <c r="AO10">
        <v>0.92535993250415005</v>
      </c>
      <c r="AP10">
        <v>0.81204819277108398</v>
      </c>
    </row>
    <row r="11" spans="1:42" ht="15.75" thickBot="1" x14ac:dyDescent="0.3">
      <c r="A11" t="s">
        <v>42</v>
      </c>
      <c r="B11" s="1" t="s">
        <v>96</v>
      </c>
      <c r="C11">
        <v>4117.2</v>
      </c>
      <c r="D11">
        <v>3529.93</v>
      </c>
      <c r="E11">
        <v>4475.22</v>
      </c>
      <c r="F11">
        <v>1462.5</v>
      </c>
      <c r="G11">
        <v>1922.14</v>
      </c>
      <c r="H11">
        <v>5352.33</v>
      </c>
      <c r="I11">
        <v>8099.2</v>
      </c>
      <c r="J11">
        <v>8615.3700000000008</v>
      </c>
      <c r="K11">
        <v>5225.63</v>
      </c>
      <c r="L11">
        <v>148.97999999999999</v>
      </c>
      <c r="M11">
        <v>154.41999999999999</v>
      </c>
      <c r="N11">
        <v>1139.25</v>
      </c>
      <c r="O11">
        <v>624.41</v>
      </c>
      <c r="P11">
        <v>2278.6799999999998</v>
      </c>
      <c r="Q11">
        <v>650.62</v>
      </c>
      <c r="R11">
        <v>507.14</v>
      </c>
      <c r="S11">
        <v>848.75</v>
      </c>
      <c r="T11">
        <v>1307.6600000000001</v>
      </c>
      <c r="U11">
        <v>1265.19</v>
      </c>
      <c r="V11">
        <v>1341.08</v>
      </c>
      <c r="W11">
        <v>1776.71</v>
      </c>
      <c r="X11">
        <v>943.28</v>
      </c>
      <c r="Y11">
        <v>0.91999946371351504</v>
      </c>
      <c r="Z11">
        <v>0.32679957633367701</v>
      </c>
      <c r="AA11">
        <v>0.42950737617368501</v>
      </c>
      <c r="AB11">
        <v>0.97632806646824799</v>
      </c>
      <c r="AC11">
        <v>0.64520322994863599</v>
      </c>
      <c r="AD11">
        <v>0.606547368249999</v>
      </c>
      <c r="AE11">
        <v>0.54808865481676505</v>
      </c>
      <c r="AF11">
        <v>0.27402267979707501</v>
      </c>
      <c r="AG11">
        <v>0.59751399116347503</v>
      </c>
      <c r="AH11">
        <v>0.91999946371351504</v>
      </c>
      <c r="AI11">
        <v>0.32679957633367701</v>
      </c>
      <c r="AJ11">
        <v>0.42950737617368501</v>
      </c>
      <c r="AK11">
        <v>0.97632806646824799</v>
      </c>
      <c r="AL11">
        <v>0.64520322994863599</v>
      </c>
      <c r="AM11">
        <v>0.606547368249999</v>
      </c>
      <c r="AN11">
        <v>2.0001579986833402</v>
      </c>
      <c r="AO11">
        <v>1.0419756249899901</v>
      </c>
      <c r="AP11">
        <v>0.59751399116347503</v>
      </c>
    </row>
    <row r="12" spans="1:42" ht="15.75" thickBot="1" x14ac:dyDescent="0.3">
      <c r="A12" t="s">
        <v>43</v>
      </c>
      <c r="B12" s="1" t="s">
        <v>96</v>
      </c>
      <c r="C12">
        <v>3971.18</v>
      </c>
      <c r="D12">
        <v>3584</v>
      </c>
      <c r="E12">
        <v>4563.49</v>
      </c>
      <c r="F12">
        <v>1402.85</v>
      </c>
      <c r="G12">
        <v>1924.31</v>
      </c>
      <c r="H12">
        <v>5360.7</v>
      </c>
      <c r="I12">
        <v>8185.66</v>
      </c>
      <c r="J12">
        <v>8495.9</v>
      </c>
      <c r="K12">
        <v>5436.72</v>
      </c>
      <c r="L12">
        <v>149.16</v>
      </c>
      <c r="M12">
        <v>156.41999999999999</v>
      </c>
      <c r="N12">
        <v>1140.48</v>
      </c>
      <c r="O12">
        <v>712.7</v>
      </c>
      <c r="P12">
        <v>2275.5</v>
      </c>
      <c r="Q12">
        <v>828.78</v>
      </c>
      <c r="R12">
        <v>420.73</v>
      </c>
      <c r="S12">
        <v>860.66</v>
      </c>
      <c r="T12">
        <v>1424.02</v>
      </c>
      <c r="U12">
        <v>1374.55</v>
      </c>
      <c r="V12">
        <v>1375.56</v>
      </c>
      <c r="W12">
        <v>1891.07</v>
      </c>
      <c r="X12">
        <v>1692.07</v>
      </c>
      <c r="Y12">
        <v>0.870206793484811</v>
      </c>
      <c r="Z12">
        <v>0.30740726943633001</v>
      </c>
      <c r="AA12">
        <v>0.42167507762699102</v>
      </c>
      <c r="AB12">
        <v>1.0141809838267299</v>
      </c>
      <c r="AC12">
        <v>0.66417613240716</v>
      </c>
      <c r="AD12">
        <v>0.63992278628514898</v>
      </c>
      <c r="AE12">
        <v>0.62491231762065103</v>
      </c>
      <c r="AF12">
        <v>0.31320588881564398</v>
      </c>
      <c r="AG12">
        <v>0.48884576952571202</v>
      </c>
      <c r="AH12">
        <v>0.870206793484811</v>
      </c>
      <c r="AI12">
        <v>0.30740726943633001</v>
      </c>
      <c r="AJ12">
        <v>0.42167507762699102</v>
      </c>
      <c r="AK12">
        <v>1.0141809838267299</v>
      </c>
      <c r="AL12">
        <v>0.66417613240716</v>
      </c>
      <c r="AM12">
        <v>0.63992278628514898</v>
      </c>
      <c r="AN12">
        <v>1.99521254208754</v>
      </c>
      <c r="AO12">
        <v>1.16287357934614</v>
      </c>
      <c r="AP12">
        <v>0.48884576952571202</v>
      </c>
    </row>
    <row r="13" spans="1:42" x14ac:dyDescent="0.25">
      <c r="A13" t="s">
        <v>44</v>
      </c>
      <c r="B13" s="11" t="s">
        <v>96</v>
      </c>
      <c r="C13">
        <v>3627.85</v>
      </c>
      <c r="D13">
        <v>3538.61</v>
      </c>
      <c r="E13">
        <v>4585.22</v>
      </c>
      <c r="F13">
        <v>1475.45</v>
      </c>
      <c r="G13">
        <v>2028.42</v>
      </c>
      <c r="H13">
        <v>5328.44</v>
      </c>
      <c r="I13">
        <v>8139.54</v>
      </c>
      <c r="J13">
        <v>8178.22</v>
      </c>
      <c r="K13">
        <v>5299.74</v>
      </c>
      <c r="L13">
        <v>148.93</v>
      </c>
      <c r="M13">
        <v>153.47</v>
      </c>
      <c r="N13">
        <v>1315.09</v>
      </c>
      <c r="O13">
        <v>656.52</v>
      </c>
      <c r="P13">
        <v>2159.79</v>
      </c>
      <c r="Q13">
        <v>628.63</v>
      </c>
      <c r="R13">
        <v>476.1</v>
      </c>
      <c r="S13">
        <v>824.69</v>
      </c>
      <c r="T13">
        <v>1367.7</v>
      </c>
      <c r="U13">
        <v>1427.33</v>
      </c>
      <c r="V13">
        <v>1515.73</v>
      </c>
      <c r="W13">
        <v>2031.99</v>
      </c>
      <c r="X13">
        <v>1639.23</v>
      </c>
      <c r="Y13">
        <v>0.79120522025115403</v>
      </c>
      <c r="Z13">
        <v>0.32178390567955301</v>
      </c>
      <c r="AA13">
        <v>0.44238226301028</v>
      </c>
      <c r="AB13">
        <v>0.99461380816899503</v>
      </c>
      <c r="AC13">
        <v>0.651110505016254</v>
      </c>
      <c r="AD13">
        <v>0.64803098962854899</v>
      </c>
      <c r="AE13">
        <v>0.49922058566333799</v>
      </c>
      <c r="AF13">
        <v>0.30397399747197601</v>
      </c>
      <c r="AG13">
        <v>0.57730783688416198</v>
      </c>
      <c r="AH13">
        <v>0.79120522025115403</v>
      </c>
      <c r="AI13">
        <v>0.32178390567955301</v>
      </c>
      <c r="AJ13">
        <v>0.44238226301028</v>
      </c>
      <c r="AK13">
        <v>0.99461380816899503</v>
      </c>
      <c r="AL13">
        <v>0.651110505016254</v>
      </c>
      <c r="AM13">
        <v>0.64803098962854899</v>
      </c>
      <c r="AN13">
        <v>1.6423134538320501</v>
      </c>
      <c r="AO13">
        <v>0.95751843051239804</v>
      </c>
      <c r="AP13">
        <v>0.57730783688416198</v>
      </c>
    </row>
    <row r="14" spans="1:42" x14ac:dyDescent="0.25">
      <c r="A14" t="s">
        <v>45</v>
      </c>
      <c r="B14" s="11" t="s">
        <v>96</v>
      </c>
      <c r="H14">
        <v>5326.82</v>
      </c>
      <c r="I14">
        <v>7841.55</v>
      </c>
      <c r="J14">
        <v>8184.22</v>
      </c>
      <c r="K14">
        <v>5172.7700000000004</v>
      </c>
      <c r="L14">
        <v>150.12</v>
      </c>
      <c r="M14">
        <v>154.02000000000001</v>
      </c>
      <c r="N14">
        <v>1053.53</v>
      </c>
      <c r="O14">
        <v>604.95000000000005</v>
      </c>
      <c r="P14">
        <v>2186.98</v>
      </c>
      <c r="Q14">
        <v>586.34</v>
      </c>
      <c r="R14">
        <v>444.66</v>
      </c>
      <c r="S14">
        <v>640.77</v>
      </c>
      <c r="T14">
        <v>1391.86</v>
      </c>
      <c r="U14">
        <v>1327.51</v>
      </c>
      <c r="V14">
        <v>1315.48</v>
      </c>
      <c r="W14">
        <v>1693.02</v>
      </c>
      <c r="X14">
        <v>1496.06</v>
      </c>
      <c r="AB14">
        <v>0.97108030682470903</v>
      </c>
      <c r="AC14">
        <v>0.65966167403128195</v>
      </c>
      <c r="AD14">
        <v>0.63204190503187796</v>
      </c>
      <c r="AE14">
        <v>0.574212409708314</v>
      </c>
      <c r="AF14">
        <v>0.27661432660563801</v>
      </c>
      <c r="AG14">
        <v>0.69394634580270598</v>
      </c>
      <c r="AK14">
        <v>0.97108030682470903</v>
      </c>
      <c r="AL14">
        <v>0.65966167403128195</v>
      </c>
      <c r="AM14">
        <v>0.63204190503187796</v>
      </c>
      <c r="AN14">
        <v>2.0758592541266001</v>
      </c>
      <c r="AO14">
        <v>0.96923712703529197</v>
      </c>
      <c r="AP14">
        <v>0.69394634580270598</v>
      </c>
    </row>
    <row r="15" spans="1:42" x14ac:dyDescent="0.25">
      <c r="A15" t="s">
        <v>46</v>
      </c>
      <c r="B15" s="11" t="s">
        <v>96</v>
      </c>
      <c r="H15">
        <v>5471.34</v>
      </c>
      <c r="I15">
        <v>8279.86</v>
      </c>
      <c r="J15">
        <v>8642.64</v>
      </c>
      <c r="K15">
        <v>5445.43</v>
      </c>
      <c r="L15">
        <v>149.76</v>
      </c>
      <c r="M15">
        <v>159.13999999999999</v>
      </c>
      <c r="N15">
        <v>1059.02</v>
      </c>
      <c r="O15">
        <v>696.11</v>
      </c>
      <c r="P15">
        <v>2163.88</v>
      </c>
      <c r="Q15">
        <v>701.49</v>
      </c>
      <c r="R15">
        <v>570.47</v>
      </c>
      <c r="S15">
        <v>844.6</v>
      </c>
      <c r="T15">
        <v>1425.64</v>
      </c>
      <c r="U15">
        <v>1404.68</v>
      </c>
      <c r="V15">
        <v>1523.77</v>
      </c>
      <c r="W15">
        <v>1931.74</v>
      </c>
      <c r="X15">
        <v>1703.91</v>
      </c>
      <c r="AC15">
        <v>0.65767174807303497</v>
      </c>
      <c r="AD15">
        <v>0.63006558181296402</v>
      </c>
      <c r="AE15">
        <v>0.65731525372514199</v>
      </c>
      <c r="AF15">
        <v>0.32169528809360898</v>
      </c>
      <c r="AG15">
        <v>0.67543215723419303</v>
      </c>
      <c r="AK15">
        <v>0.99526441420200495</v>
      </c>
      <c r="AL15">
        <v>0.65767174807303497</v>
      </c>
      <c r="AM15">
        <v>0.63006558181296402</v>
      </c>
      <c r="AN15">
        <v>2.04328530150516</v>
      </c>
      <c r="AO15">
        <v>1.0077286635732801</v>
      </c>
      <c r="AP15">
        <v>0.67543215723419303</v>
      </c>
    </row>
    <row r="16" spans="1:42" x14ac:dyDescent="0.25">
      <c r="A16" t="s">
        <v>47</v>
      </c>
      <c r="B16" s="11" t="s">
        <v>96</v>
      </c>
      <c r="H16">
        <v>5989.42</v>
      </c>
      <c r="I16">
        <v>8721.56</v>
      </c>
      <c r="J16">
        <v>9409.23</v>
      </c>
      <c r="K16">
        <v>5938.63</v>
      </c>
      <c r="L16">
        <v>158.79</v>
      </c>
      <c r="M16">
        <v>155.13</v>
      </c>
      <c r="N16">
        <v>1404.66</v>
      </c>
      <c r="O16">
        <v>795.06</v>
      </c>
      <c r="P16">
        <v>2514.31</v>
      </c>
      <c r="Q16">
        <v>1019.5</v>
      </c>
      <c r="R16">
        <v>496.13</v>
      </c>
      <c r="S16">
        <v>875.71</v>
      </c>
      <c r="T16">
        <v>1419.97</v>
      </c>
      <c r="U16">
        <v>1438.48</v>
      </c>
      <c r="V16">
        <v>1467.96</v>
      </c>
      <c r="W16">
        <v>1854.47</v>
      </c>
      <c r="X16">
        <v>1261.79</v>
      </c>
      <c r="AB16">
        <v>0.99152004701623797</v>
      </c>
      <c r="AC16">
        <v>0.68091373561610502</v>
      </c>
      <c r="AD16">
        <v>0.63114941392653801</v>
      </c>
      <c r="AE16">
        <v>0.56601597539618098</v>
      </c>
      <c r="AF16">
        <v>0.31621399111485798</v>
      </c>
      <c r="AG16">
        <v>0.56654600267211697</v>
      </c>
      <c r="AK16">
        <v>0.99152004701623797</v>
      </c>
      <c r="AL16">
        <v>0.68091373561610502</v>
      </c>
      <c r="AM16">
        <v>0.63114941392653801</v>
      </c>
      <c r="AN16">
        <v>1.7899776458359999</v>
      </c>
      <c r="AO16">
        <v>1.2822931602646299</v>
      </c>
      <c r="AP16">
        <v>0.56654600267211697</v>
      </c>
    </row>
    <row r="17" spans="1:42" x14ac:dyDescent="0.25">
      <c r="A17" t="s">
        <v>48</v>
      </c>
      <c r="B17" s="11" t="s">
        <v>96</v>
      </c>
      <c r="C17">
        <v>4006.44</v>
      </c>
      <c r="D17">
        <v>3685.78</v>
      </c>
      <c r="E17">
        <v>4546.28</v>
      </c>
      <c r="F17">
        <v>2076.73</v>
      </c>
      <c r="G17">
        <v>1707.97</v>
      </c>
      <c r="H17">
        <v>5380.23</v>
      </c>
      <c r="I17">
        <v>8422.9500000000007</v>
      </c>
      <c r="J17">
        <v>8922.9699999999993</v>
      </c>
      <c r="K17">
        <v>5502.1</v>
      </c>
      <c r="L17">
        <v>149.16</v>
      </c>
      <c r="M17">
        <v>149.13</v>
      </c>
      <c r="N17">
        <v>1222.29</v>
      </c>
      <c r="O17">
        <v>648.82000000000005</v>
      </c>
      <c r="P17">
        <v>2384.42</v>
      </c>
      <c r="Q17">
        <v>703.02</v>
      </c>
      <c r="R17">
        <v>525.04</v>
      </c>
      <c r="S17">
        <v>916.28</v>
      </c>
      <c r="T17">
        <v>1412.53</v>
      </c>
      <c r="U17">
        <v>1553.82</v>
      </c>
      <c r="V17">
        <v>1594.47</v>
      </c>
      <c r="W17">
        <v>2283.17</v>
      </c>
      <c r="X17">
        <v>1428.48</v>
      </c>
      <c r="Y17">
        <v>0.88125676377169904</v>
      </c>
      <c r="Z17">
        <v>0.45679764554756802</v>
      </c>
      <c r="AA17">
        <v>0.375685175572116</v>
      </c>
      <c r="AB17">
        <v>1.0226514479864199</v>
      </c>
      <c r="AC17">
        <v>0.65322719474768298</v>
      </c>
      <c r="AD17">
        <v>0.616622044005527</v>
      </c>
      <c r="AE17">
        <v>0.53082329070842404</v>
      </c>
      <c r="AF17">
        <v>0.27210810176059502</v>
      </c>
      <c r="AG17">
        <v>0.57301261623084598</v>
      </c>
      <c r="AH17">
        <v>0.88125676377169904</v>
      </c>
      <c r="AI17">
        <v>0.45679764554756802</v>
      </c>
      <c r="AJ17">
        <v>0.375685175572116</v>
      </c>
      <c r="AK17">
        <v>1.0226514479864199</v>
      </c>
      <c r="AL17">
        <v>0.65322719474768298</v>
      </c>
      <c r="AM17">
        <v>0.616622044005527</v>
      </c>
      <c r="AN17">
        <v>1.95078091124037</v>
      </c>
      <c r="AO17">
        <v>1.08353626583644</v>
      </c>
      <c r="AP17">
        <v>0.57301261623084598</v>
      </c>
    </row>
    <row r="18" spans="1:42" x14ac:dyDescent="0.25">
      <c r="A18" t="s">
        <v>49</v>
      </c>
      <c r="B18" s="11" t="s">
        <v>96</v>
      </c>
      <c r="C18">
        <v>4172.6899999999996</v>
      </c>
      <c r="D18">
        <v>3806.58</v>
      </c>
      <c r="E18">
        <v>4804.8</v>
      </c>
      <c r="F18">
        <v>2101.69</v>
      </c>
      <c r="G18">
        <v>1587.15</v>
      </c>
      <c r="H18">
        <v>5606.02</v>
      </c>
      <c r="I18">
        <v>8648.11</v>
      </c>
      <c r="J18">
        <v>9122.2999999999993</v>
      </c>
      <c r="K18">
        <v>5654.68</v>
      </c>
      <c r="L18">
        <v>148.85</v>
      </c>
      <c r="M18">
        <v>148.77000000000001</v>
      </c>
      <c r="N18">
        <v>1403.18</v>
      </c>
      <c r="O18">
        <v>726.33</v>
      </c>
      <c r="P18">
        <v>2368.23</v>
      </c>
      <c r="Q18">
        <v>785.83</v>
      </c>
      <c r="R18">
        <v>576.48</v>
      </c>
      <c r="S18">
        <v>892.04</v>
      </c>
      <c r="T18">
        <v>1428.37</v>
      </c>
      <c r="U18">
        <v>1383.55</v>
      </c>
      <c r="V18">
        <v>1461.69</v>
      </c>
      <c r="W18">
        <v>2162.2600000000002</v>
      </c>
      <c r="X18">
        <v>1872.85</v>
      </c>
      <c r="Y18">
        <v>0.86844197469197404</v>
      </c>
      <c r="Z18">
        <v>0.43741466866466799</v>
      </c>
      <c r="AA18">
        <v>0.33032592407592398</v>
      </c>
      <c r="AB18">
        <v>1.0086799547629099</v>
      </c>
      <c r="AC18">
        <v>0.65386309841109702</v>
      </c>
      <c r="AD18">
        <v>0.61987437378731203</v>
      </c>
      <c r="AE18">
        <v>0.51763138015080001</v>
      </c>
      <c r="AF18">
        <v>0.30669740692415798</v>
      </c>
      <c r="AG18">
        <v>0.64624904712793096</v>
      </c>
      <c r="AH18">
        <v>0.86844197469197404</v>
      </c>
      <c r="AI18">
        <v>0.43741466866466799</v>
      </c>
      <c r="AJ18">
        <v>0.33032592407592398</v>
      </c>
      <c r="AK18">
        <v>1.0086799547629099</v>
      </c>
      <c r="AL18">
        <v>0.65386309841109702</v>
      </c>
      <c r="AM18">
        <v>0.61987437378731203</v>
      </c>
      <c r="AN18">
        <v>1.68775923260023</v>
      </c>
      <c r="AO18">
        <v>1.0819186870981501</v>
      </c>
      <c r="AP18">
        <v>0.64624904712793096</v>
      </c>
    </row>
    <row r="19" spans="1:42" x14ac:dyDescent="0.25">
      <c r="A19" t="s">
        <v>50</v>
      </c>
      <c r="B19" s="11" t="s">
        <v>96</v>
      </c>
      <c r="H19">
        <v>5623.08</v>
      </c>
      <c r="I19">
        <v>8291.0499999999993</v>
      </c>
      <c r="J19">
        <v>9072.48</v>
      </c>
      <c r="K19">
        <v>5807.61</v>
      </c>
      <c r="L19">
        <v>156.19999999999999</v>
      </c>
      <c r="M19">
        <v>147.91999999999999</v>
      </c>
      <c r="N19">
        <v>1363.83</v>
      </c>
      <c r="O19">
        <v>665.33</v>
      </c>
      <c r="P19">
        <v>2443.2399999999998</v>
      </c>
      <c r="Q19">
        <v>701.43</v>
      </c>
      <c r="R19">
        <v>529.20000000000005</v>
      </c>
      <c r="S19">
        <v>879.83</v>
      </c>
      <c r="AB19">
        <v>1.03281653471051</v>
      </c>
      <c r="AC19">
        <v>0.70046737144269999</v>
      </c>
      <c r="AD19">
        <v>0.64013478122850598</v>
      </c>
      <c r="AE19">
        <v>0.48783939347279298</v>
      </c>
      <c r="AF19">
        <v>0.27231463139110301</v>
      </c>
      <c r="AG19">
        <v>0.60147983133105198</v>
      </c>
      <c r="AK19">
        <v>1.03281653471051</v>
      </c>
      <c r="AL19">
        <v>0.70046737144269999</v>
      </c>
      <c r="AM19">
        <v>0.64013478122850598</v>
      </c>
      <c r="AN19">
        <v>1.79145494673089</v>
      </c>
      <c r="AO19">
        <v>1.0542587888716799</v>
      </c>
      <c r="AP19">
        <v>0.60147983133105198</v>
      </c>
    </row>
    <row r="20" spans="1:42" x14ac:dyDescent="0.25">
      <c r="A20" t="s">
        <v>51</v>
      </c>
      <c r="B20" s="11" t="s">
        <v>96</v>
      </c>
      <c r="H20">
        <v>5434.79</v>
      </c>
      <c r="I20">
        <v>8023.6</v>
      </c>
      <c r="J20">
        <v>8608.36</v>
      </c>
      <c r="K20">
        <v>5457.58</v>
      </c>
      <c r="L20">
        <v>152.63</v>
      </c>
      <c r="M20">
        <v>146.13999999999999</v>
      </c>
      <c r="N20">
        <v>1283.76</v>
      </c>
      <c r="O20">
        <v>685.75</v>
      </c>
      <c r="P20">
        <v>2081.86</v>
      </c>
      <c r="Q20">
        <v>768.23</v>
      </c>
      <c r="R20">
        <v>413.13</v>
      </c>
      <c r="S20">
        <v>822.51</v>
      </c>
      <c r="T20">
        <v>1461.45</v>
      </c>
      <c r="U20">
        <v>1400.71</v>
      </c>
      <c r="V20">
        <v>1444.82</v>
      </c>
      <c r="W20">
        <v>1871.58</v>
      </c>
      <c r="X20">
        <v>1737.64</v>
      </c>
      <c r="AB20">
        <v>1.00419335429703</v>
      </c>
      <c r="AC20">
        <v>0.68019093673662601</v>
      </c>
      <c r="AD20">
        <v>0.63398603218266802</v>
      </c>
      <c r="AE20">
        <v>0.53417305415342398</v>
      </c>
      <c r="AF20">
        <v>0.3293929466919</v>
      </c>
      <c r="AG20">
        <v>0.50227960754276502</v>
      </c>
      <c r="AK20">
        <v>1.00419335429703</v>
      </c>
      <c r="AL20">
        <v>0.68019093673662601</v>
      </c>
      <c r="AM20">
        <v>0.63398603218266802</v>
      </c>
      <c r="AN20">
        <v>1.62168941235121</v>
      </c>
      <c r="AO20">
        <v>1.12027706890266</v>
      </c>
      <c r="AP20">
        <v>0.50227960754276502</v>
      </c>
    </row>
    <row r="21" spans="1:42" x14ac:dyDescent="0.25">
      <c r="A21" t="s">
        <v>56</v>
      </c>
      <c r="B21" s="3" t="s">
        <v>98</v>
      </c>
      <c r="C21">
        <v>3908.96</v>
      </c>
      <c r="D21">
        <v>3849.1</v>
      </c>
      <c r="E21">
        <v>4976.72</v>
      </c>
      <c r="F21">
        <v>2090.46</v>
      </c>
      <c r="G21">
        <v>1635.22</v>
      </c>
      <c r="H21">
        <v>5832.83</v>
      </c>
      <c r="I21">
        <v>9158.4500000000007</v>
      </c>
      <c r="J21">
        <v>9559.65</v>
      </c>
      <c r="K21">
        <v>5864.23</v>
      </c>
      <c r="L21">
        <v>148.16</v>
      </c>
      <c r="M21">
        <v>152.72</v>
      </c>
      <c r="N21">
        <v>1333.44</v>
      </c>
      <c r="O21">
        <v>806.87</v>
      </c>
      <c r="P21">
        <v>2441.1999999999998</v>
      </c>
      <c r="Q21">
        <v>941.34</v>
      </c>
      <c r="R21">
        <v>650.72</v>
      </c>
      <c r="S21">
        <v>1041.26</v>
      </c>
      <c r="T21">
        <v>1563.78</v>
      </c>
      <c r="U21">
        <v>1617.01</v>
      </c>
      <c r="V21">
        <v>1704.72</v>
      </c>
      <c r="W21">
        <v>2465.4699999999998</v>
      </c>
      <c r="X21">
        <v>1863.38</v>
      </c>
      <c r="Y21">
        <v>0.78544905078043303</v>
      </c>
      <c r="Z21">
        <v>0.420047742288093</v>
      </c>
      <c r="AA21">
        <v>0.32857383979809901</v>
      </c>
      <c r="AB21">
        <v>1.0053833216466099</v>
      </c>
      <c r="AC21">
        <v>0.64030813074264703</v>
      </c>
      <c r="AD21">
        <v>0.61343563833403902</v>
      </c>
      <c r="AE21">
        <v>0.60510409167266599</v>
      </c>
      <c r="AF21">
        <v>0.330521874487956</v>
      </c>
      <c r="AG21">
        <v>0.62493517469219895</v>
      </c>
      <c r="AH21">
        <v>0.78544905078043303</v>
      </c>
      <c r="AI21">
        <v>0.420047742288093</v>
      </c>
      <c r="AJ21">
        <v>0.32857383979809901</v>
      </c>
      <c r="AK21">
        <v>1.0053833216466099</v>
      </c>
      <c r="AL21">
        <v>0.64030813074264703</v>
      </c>
      <c r="AM21">
        <v>0.61343563833403902</v>
      </c>
      <c r="AN21">
        <v>1.83075353971682</v>
      </c>
      <c r="AO21">
        <v>1.1666563386914801</v>
      </c>
      <c r="AP21">
        <v>0.62493517469219895</v>
      </c>
    </row>
    <row r="22" spans="1:42" x14ac:dyDescent="0.25">
      <c r="A22" t="s">
        <v>57</v>
      </c>
      <c r="B22" s="3" t="s">
        <v>98</v>
      </c>
      <c r="C22">
        <v>4437.51</v>
      </c>
      <c r="D22">
        <v>3793.03</v>
      </c>
      <c r="E22">
        <v>4865.54</v>
      </c>
      <c r="F22">
        <v>2032.75</v>
      </c>
      <c r="G22">
        <v>1517.12</v>
      </c>
      <c r="H22">
        <v>5707.65</v>
      </c>
      <c r="I22">
        <v>8711.56</v>
      </c>
      <c r="J22">
        <v>9021.34</v>
      </c>
      <c r="K22">
        <v>5774.05</v>
      </c>
      <c r="L22">
        <v>146.69</v>
      </c>
      <c r="M22">
        <v>141.33000000000001</v>
      </c>
      <c r="N22">
        <v>1470.63</v>
      </c>
      <c r="O22">
        <v>692.9</v>
      </c>
      <c r="P22">
        <v>2365.63</v>
      </c>
      <c r="Q22">
        <v>1041.68</v>
      </c>
      <c r="R22">
        <v>497.15</v>
      </c>
      <c r="S22">
        <v>855.88</v>
      </c>
      <c r="T22">
        <v>1620.87</v>
      </c>
      <c r="U22">
        <v>1585.37</v>
      </c>
      <c r="V22">
        <v>1633.34</v>
      </c>
      <c r="W22">
        <v>2453.27</v>
      </c>
      <c r="X22">
        <v>1753.15</v>
      </c>
      <c r="Y22">
        <v>0.91202826407757398</v>
      </c>
      <c r="Z22">
        <v>0.41778507627108102</v>
      </c>
      <c r="AA22">
        <v>0.31180917226042698</v>
      </c>
      <c r="AB22">
        <v>1.0116335094127999</v>
      </c>
      <c r="AC22">
        <v>0.66280321779336804</v>
      </c>
      <c r="AD22">
        <v>0.640043496864102</v>
      </c>
      <c r="AE22">
        <v>0.471158619095217</v>
      </c>
      <c r="AF22">
        <v>0.29290294762917202</v>
      </c>
      <c r="AG22">
        <v>0.58086413983268603</v>
      </c>
      <c r="AH22">
        <v>0.91202826407757398</v>
      </c>
      <c r="AI22">
        <v>0.41778507627108102</v>
      </c>
      <c r="AJ22">
        <v>0.31180917226042698</v>
      </c>
      <c r="AK22">
        <v>1.0116335094127999</v>
      </c>
      <c r="AL22">
        <v>0.66280321779336804</v>
      </c>
      <c r="AM22">
        <v>0.640043496864102</v>
      </c>
      <c r="AN22">
        <v>1.6085827162508499</v>
      </c>
      <c r="AO22">
        <v>1.5033626785972001</v>
      </c>
      <c r="AP22">
        <v>0.58086413983268603</v>
      </c>
    </row>
    <row r="23" spans="1:42" x14ac:dyDescent="0.25">
      <c r="A23" t="s">
        <v>58</v>
      </c>
      <c r="B23" s="3" t="s">
        <v>98</v>
      </c>
      <c r="C23">
        <v>4296.25</v>
      </c>
      <c r="D23">
        <v>3668.76</v>
      </c>
      <c r="E23">
        <v>4705.0200000000004</v>
      </c>
      <c r="F23">
        <v>2029.81</v>
      </c>
      <c r="G23">
        <v>1495.22</v>
      </c>
      <c r="H23">
        <v>5631.26</v>
      </c>
      <c r="I23">
        <v>8436.1</v>
      </c>
      <c r="J23">
        <v>8695.4599999999991</v>
      </c>
      <c r="K23">
        <v>5468.85</v>
      </c>
      <c r="L23">
        <v>152.46</v>
      </c>
      <c r="M23">
        <v>144.25</v>
      </c>
      <c r="N23">
        <v>1270.08</v>
      </c>
      <c r="O23">
        <v>679.9</v>
      </c>
      <c r="P23">
        <v>2399.0500000000002</v>
      </c>
      <c r="Q23">
        <v>1032.32</v>
      </c>
      <c r="R23">
        <v>578.13</v>
      </c>
      <c r="S23">
        <v>871.14</v>
      </c>
      <c r="T23">
        <v>1587.7</v>
      </c>
      <c r="U23">
        <v>1515.81</v>
      </c>
      <c r="V23">
        <v>1585.55</v>
      </c>
      <c r="W23">
        <v>2092.61</v>
      </c>
      <c r="X23">
        <v>1902.97</v>
      </c>
      <c r="Y23">
        <v>0.91312045432325395</v>
      </c>
      <c r="Z23">
        <v>0.43141368155714499</v>
      </c>
      <c r="AA23">
        <v>0.31779248547296202</v>
      </c>
      <c r="AB23">
        <v>0.97115920770839903</v>
      </c>
      <c r="AC23">
        <v>0.64826756439586997</v>
      </c>
      <c r="AD23">
        <v>0.62893164938945101</v>
      </c>
      <c r="AE23">
        <v>0.53532060972537099</v>
      </c>
      <c r="AF23">
        <v>0.28340384735624502</v>
      </c>
      <c r="AG23">
        <v>0.66364763413458205</v>
      </c>
      <c r="AH23">
        <v>0.91312045432325395</v>
      </c>
      <c r="AI23">
        <v>0.43141368155714499</v>
      </c>
      <c r="AJ23">
        <v>0.31779248547296202</v>
      </c>
      <c r="AK23">
        <v>0.97115920770839903</v>
      </c>
      <c r="AL23">
        <v>0.64826756439586997</v>
      </c>
      <c r="AM23">
        <v>0.62893164938945101</v>
      </c>
      <c r="AN23">
        <v>1.8888967624086599</v>
      </c>
      <c r="AO23">
        <v>1.5183409324900701</v>
      </c>
      <c r="AP23">
        <v>0.66364763413458205</v>
      </c>
    </row>
    <row r="24" spans="1:42" x14ac:dyDescent="0.25">
      <c r="A24" t="s">
        <v>61</v>
      </c>
      <c r="B24" s="2" t="s">
        <v>98</v>
      </c>
      <c r="C24">
        <v>4088.09</v>
      </c>
      <c r="D24">
        <v>3757.84</v>
      </c>
      <c r="E24">
        <v>4858.87</v>
      </c>
      <c r="F24">
        <v>2097.7800000000002</v>
      </c>
      <c r="G24">
        <v>1508.74</v>
      </c>
      <c r="H24">
        <v>5865.71</v>
      </c>
      <c r="I24">
        <v>8650.4</v>
      </c>
      <c r="J24">
        <v>9249.7099999999991</v>
      </c>
      <c r="K24">
        <v>5807.39</v>
      </c>
      <c r="L24">
        <v>153.34</v>
      </c>
      <c r="M24">
        <v>149.01</v>
      </c>
      <c r="N24">
        <v>1223.99</v>
      </c>
      <c r="O24">
        <v>700.84</v>
      </c>
      <c r="P24">
        <v>2603.1</v>
      </c>
      <c r="Q24">
        <v>988.48</v>
      </c>
      <c r="R24">
        <v>470.67</v>
      </c>
      <c r="S24">
        <v>909.96</v>
      </c>
      <c r="T24">
        <v>1502.43</v>
      </c>
      <c r="U24">
        <v>1515.71</v>
      </c>
      <c r="V24">
        <v>1548.88</v>
      </c>
      <c r="W24">
        <v>2309.4699999999998</v>
      </c>
      <c r="X24">
        <v>1932.3</v>
      </c>
      <c r="Y24">
        <v>0.84136640823895203</v>
      </c>
      <c r="Z24">
        <v>0.43174235984909998</v>
      </c>
      <c r="AA24">
        <v>0.31051252657510903</v>
      </c>
      <c r="AB24">
        <v>0.99005746959873497</v>
      </c>
      <c r="AC24">
        <v>0.67134352168685796</v>
      </c>
      <c r="AD24">
        <v>0.62784562975487801</v>
      </c>
      <c r="AE24">
        <v>0.57258637733968398</v>
      </c>
      <c r="AF24">
        <v>0.26923283777035001</v>
      </c>
      <c r="AG24">
        <v>0.51724251615455596</v>
      </c>
      <c r="AH24">
        <v>0.84136640823895203</v>
      </c>
      <c r="AI24">
        <v>0.43174235984909998</v>
      </c>
      <c r="AJ24">
        <v>0.31051252657510903</v>
      </c>
      <c r="AK24">
        <v>0.99005746959873497</v>
      </c>
      <c r="AL24">
        <v>0.67134352168685796</v>
      </c>
      <c r="AM24">
        <v>0.62784562975487801</v>
      </c>
      <c r="AN24">
        <v>2.1267330615446198</v>
      </c>
      <c r="AO24">
        <v>1.4104217795787899</v>
      </c>
      <c r="AP24">
        <v>0.51724251615455596</v>
      </c>
    </row>
    <row r="25" spans="1:42" x14ac:dyDescent="0.25">
      <c r="A25" t="s">
        <v>62</v>
      </c>
      <c r="B25" s="2" t="s">
        <v>98</v>
      </c>
      <c r="C25">
        <v>4275.07</v>
      </c>
      <c r="D25">
        <v>3536.45</v>
      </c>
      <c r="E25">
        <v>4624.2299999999996</v>
      </c>
      <c r="F25">
        <v>1982.69</v>
      </c>
      <c r="G25">
        <v>1475.26</v>
      </c>
      <c r="H25">
        <v>5287.93</v>
      </c>
      <c r="I25">
        <v>7857.52</v>
      </c>
      <c r="J25">
        <v>7956.65</v>
      </c>
      <c r="K25">
        <v>4937.28</v>
      </c>
      <c r="L25">
        <v>147.75</v>
      </c>
      <c r="M25">
        <v>147.41999999999999</v>
      </c>
      <c r="N25">
        <v>1132.6099999999999</v>
      </c>
      <c r="O25">
        <v>640.13</v>
      </c>
      <c r="P25">
        <v>1955.61</v>
      </c>
      <c r="Q25">
        <v>732.47</v>
      </c>
      <c r="R25">
        <v>434.13</v>
      </c>
      <c r="S25">
        <v>723.26</v>
      </c>
      <c r="T25">
        <v>1355.47</v>
      </c>
      <c r="U25">
        <v>1467.79</v>
      </c>
      <c r="V25">
        <v>1553.89</v>
      </c>
      <c r="W25">
        <v>2244.73</v>
      </c>
      <c r="X25">
        <v>1677.49</v>
      </c>
      <c r="Y25">
        <v>0.92449337511326202</v>
      </c>
      <c r="Z25">
        <v>0.42876111266091799</v>
      </c>
      <c r="AA25">
        <v>0.31902824902740501</v>
      </c>
      <c r="AB25">
        <v>0.93368860782952801</v>
      </c>
      <c r="AC25">
        <v>0.62835093006444698</v>
      </c>
      <c r="AD25">
        <v>0.62052245605876799</v>
      </c>
      <c r="AE25">
        <v>0.565181306892928</v>
      </c>
      <c r="AF25">
        <v>0.32733009137813701</v>
      </c>
      <c r="AG25">
        <v>0.600240577385725</v>
      </c>
      <c r="AH25">
        <v>0.92449337511326202</v>
      </c>
      <c r="AI25">
        <v>0.42876111266091799</v>
      </c>
      <c r="AJ25">
        <v>0.31902824902740501</v>
      </c>
      <c r="AK25">
        <v>0.93368860782952801</v>
      </c>
      <c r="AL25">
        <v>0.62835093006444698</v>
      </c>
      <c r="AM25">
        <v>0.62052245605876799</v>
      </c>
      <c r="AN25">
        <v>1.72664023803427</v>
      </c>
      <c r="AO25">
        <v>1.1442519488228899</v>
      </c>
      <c r="AP25">
        <v>0.600240577385725</v>
      </c>
    </row>
    <row r="26" spans="1:42" x14ac:dyDescent="0.25">
      <c r="A26" t="s">
        <v>63</v>
      </c>
      <c r="B26" s="2" t="s">
        <v>98</v>
      </c>
      <c r="C26">
        <v>3492.88</v>
      </c>
      <c r="D26">
        <v>3654.27</v>
      </c>
      <c r="E26">
        <v>4788.63</v>
      </c>
      <c r="F26">
        <v>1856.41</v>
      </c>
      <c r="G26">
        <v>1392.69</v>
      </c>
      <c r="H26">
        <v>5566.18</v>
      </c>
      <c r="I26">
        <v>8546.4500000000007</v>
      </c>
      <c r="J26">
        <v>8616.36</v>
      </c>
      <c r="K26">
        <v>5517.99</v>
      </c>
      <c r="L26">
        <v>142.62</v>
      </c>
      <c r="M26">
        <v>152.53</v>
      </c>
      <c r="N26">
        <v>1127.0999999999999</v>
      </c>
      <c r="O26">
        <v>613.58000000000004</v>
      </c>
      <c r="P26">
        <v>1953.7</v>
      </c>
      <c r="Q26">
        <v>700.5</v>
      </c>
      <c r="R26">
        <v>455.97</v>
      </c>
      <c r="S26">
        <v>751.04</v>
      </c>
      <c r="T26">
        <v>1425.93</v>
      </c>
      <c r="U26">
        <v>1391.44</v>
      </c>
      <c r="V26">
        <v>1417.73</v>
      </c>
      <c r="W26">
        <v>2060.92</v>
      </c>
      <c r="X26">
        <v>1639.36</v>
      </c>
      <c r="Y26">
        <v>0.72941112593789803</v>
      </c>
      <c r="Z26">
        <v>0.38767037754013101</v>
      </c>
      <c r="AA26">
        <v>0.29083265986305001</v>
      </c>
      <c r="AB26">
        <v>0.99134235687670802</v>
      </c>
      <c r="AC26">
        <v>0.64564702303295496</v>
      </c>
      <c r="AD26">
        <v>0.64040847875436901</v>
      </c>
      <c r="AE26">
        <v>0.54438825303877203</v>
      </c>
      <c r="AF26">
        <v>0.314060500588626</v>
      </c>
      <c r="AG26">
        <v>0.60711812952705502</v>
      </c>
      <c r="AH26">
        <v>0.72941112593789803</v>
      </c>
      <c r="AI26">
        <v>0.38767037754013101</v>
      </c>
      <c r="AJ26">
        <v>0.29083265986305001</v>
      </c>
      <c r="AK26">
        <v>0.99134235687670802</v>
      </c>
      <c r="AL26">
        <v>0.64564702303295496</v>
      </c>
      <c r="AM26">
        <v>0.64040847875436901</v>
      </c>
      <c r="AN26">
        <v>1.7333865672966</v>
      </c>
      <c r="AO26">
        <v>1.1416604191792401</v>
      </c>
      <c r="AP26">
        <v>0.60711812952705502</v>
      </c>
    </row>
    <row r="27" spans="1:42" x14ac:dyDescent="0.25">
      <c r="A27" t="s">
        <v>64</v>
      </c>
      <c r="B27" s="2" t="s">
        <v>98</v>
      </c>
      <c r="C27">
        <v>4363.8599999999997</v>
      </c>
      <c r="D27">
        <v>3850.47</v>
      </c>
      <c r="E27">
        <v>4953.46</v>
      </c>
      <c r="F27">
        <v>2229.41</v>
      </c>
      <c r="G27">
        <v>1653.33</v>
      </c>
      <c r="H27">
        <v>5961.04</v>
      </c>
      <c r="I27">
        <v>8936.57</v>
      </c>
      <c r="J27">
        <v>9479.1200000000008</v>
      </c>
      <c r="K27">
        <v>6014.86</v>
      </c>
      <c r="L27">
        <v>157.32</v>
      </c>
      <c r="M27">
        <v>153.80000000000001</v>
      </c>
      <c r="N27">
        <v>1596.74</v>
      </c>
      <c r="O27">
        <v>884.71</v>
      </c>
      <c r="P27">
        <v>2438.29</v>
      </c>
      <c r="Q27">
        <v>985.67</v>
      </c>
      <c r="R27">
        <v>682.18</v>
      </c>
      <c r="S27">
        <v>815.88</v>
      </c>
      <c r="T27">
        <v>1547.39</v>
      </c>
      <c r="U27">
        <v>1654.44</v>
      </c>
      <c r="V27">
        <v>1568.18</v>
      </c>
      <c r="W27">
        <v>2594.0100000000002</v>
      </c>
      <c r="X27">
        <v>2113.66</v>
      </c>
      <c r="Y27">
        <v>0.88097208819693695</v>
      </c>
      <c r="Z27">
        <v>0.45007126331897201</v>
      </c>
      <c r="AA27">
        <v>0.33377275682048502</v>
      </c>
      <c r="AB27">
        <v>1.00902862587736</v>
      </c>
      <c r="AC27">
        <v>0.67306136470704003</v>
      </c>
      <c r="AD27">
        <v>0.63453780519710601</v>
      </c>
      <c r="AE27">
        <v>0.55407267307138297</v>
      </c>
      <c r="AF27">
        <v>0.362840351229755</v>
      </c>
      <c r="AG27">
        <v>0.83612786194048105</v>
      </c>
      <c r="AH27">
        <v>0.88097208819693695</v>
      </c>
      <c r="AI27">
        <v>0.45007126331897201</v>
      </c>
      <c r="AJ27">
        <v>0.33377275682048502</v>
      </c>
      <c r="AK27">
        <v>1.00902862587736</v>
      </c>
      <c r="AL27">
        <v>0.67306136470704003</v>
      </c>
      <c r="AM27">
        <v>0.63453780519710601</v>
      </c>
      <c r="AN27">
        <v>1.5270425992960599</v>
      </c>
      <c r="AO27">
        <v>1.1141164901493099</v>
      </c>
      <c r="AP27">
        <v>0.83612786194048105</v>
      </c>
    </row>
    <row r="28" spans="1:42" x14ac:dyDescent="0.25">
      <c r="A28" t="s">
        <v>65</v>
      </c>
      <c r="B28" s="2" t="s">
        <v>98</v>
      </c>
      <c r="C28">
        <v>4522.92</v>
      </c>
      <c r="D28">
        <v>3685.04</v>
      </c>
      <c r="E28">
        <v>4728.88</v>
      </c>
      <c r="F28">
        <v>1986.53</v>
      </c>
      <c r="G28">
        <v>1531.2</v>
      </c>
      <c r="H28">
        <v>5448.04</v>
      </c>
      <c r="I28">
        <v>8252.06</v>
      </c>
      <c r="J28">
        <v>8421.82</v>
      </c>
      <c r="K28">
        <v>5323.8</v>
      </c>
      <c r="L28">
        <v>149.66999999999999</v>
      </c>
      <c r="M28">
        <v>149.47999999999999</v>
      </c>
      <c r="N28">
        <v>1135.43</v>
      </c>
      <c r="O28">
        <v>739.42</v>
      </c>
      <c r="P28">
        <v>2126.39</v>
      </c>
      <c r="Q28">
        <v>1085.8399999999999</v>
      </c>
      <c r="R28">
        <v>492.54</v>
      </c>
      <c r="S28">
        <v>799.5</v>
      </c>
      <c r="T28">
        <v>1422.81</v>
      </c>
      <c r="U28">
        <v>1385.54</v>
      </c>
      <c r="V28">
        <v>1469.74</v>
      </c>
      <c r="W28">
        <v>2088.2600000000002</v>
      </c>
      <c r="X28">
        <v>1856.17</v>
      </c>
      <c r="Y28">
        <v>0.95644634670365902</v>
      </c>
      <c r="Z28">
        <v>0.420084671211788</v>
      </c>
      <c r="AA28">
        <v>0.32379760112331002</v>
      </c>
      <c r="AB28">
        <v>0.97719546846205196</v>
      </c>
      <c r="AC28">
        <v>0.64514799940863199</v>
      </c>
      <c r="AD28">
        <v>0.63214364591026595</v>
      </c>
      <c r="AE28">
        <v>0.65122464616929199</v>
      </c>
      <c r="AF28">
        <v>0.34773489341089803</v>
      </c>
      <c r="AG28">
        <v>0.61606003752345195</v>
      </c>
      <c r="AH28">
        <v>0.95644634670365902</v>
      </c>
      <c r="AI28">
        <v>0.420084671211788</v>
      </c>
      <c r="AJ28">
        <v>0.32379760112331002</v>
      </c>
      <c r="AK28">
        <v>0.97719546846205196</v>
      </c>
      <c r="AL28">
        <v>0.64514799940863199</v>
      </c>
      <c r="AM28">
        <v>0.63214364591026595</v>
      </c>
      <c r="AN28">
        <v>1.87276186114511</v>
      </c>
      <c r="AO28">
        <v>1.4685023396716299</v>
      </c>
      <c r="AP28">
        <v>0.61606003752345195</v>
      </c>
    </row>
    <row r="29" spans="1:42" x14ac:dyDescent="0.25">
      <c r="A29" t="s">
        <v>66</v>
      </c>
      <c r="B29" s="2" t="s">
        <v>98</v>
      </c>
      <c r="C29">
        <v>4237.33</v>
      </c>
      <c r="D29">
        <v>3729.27</v>
      </c>
      <c r="E29">
        <v>4858.17</v>
      </c>
      <c r="F29">
        <v>1958.46</v>
      </c>
      <c r="G29">
        <v>1444.04</v>
      </c>
      <c r="H29">
        <v>5765.59</v>
      </c>
      <c r="I29">
        <v>8652.4699999999993</v>
      </c>
      <c r="J29">
        <v>8898.34</v>
      </c>
      <c r="K29">
        <v>5537.96</v>
      </c>
      <c r="L29">
        <v>144.69</v>
      </c>
      <c r="M29">
        <v>142.19</v>
      </c>
      <c r="N29">
        <v>1133.8</v>
      </c>
      <c r="O29">
        <v>575.19000000000005</v>
      </c>
      <c r="P29">
        <v>2238.41</v>
      </c>
      <c r="Q29">
        <v>619.83000000000004</v>
      </c>
      <c r="R29">
        <v>397.86</v>
      </c>
      <c r="S29">
        <v>813.17</v>
      </c>
      <c r="T29">
        <v>1444.66</v>
      </c>
      <c r="U29">
        <v>1432.42</v>
      </c>
      <c r="V29">
        <v>1530.67</v>
      </c>
      <c r="W29">
        <v>1932</v>
      </c>
      <c r="X29">
        <v>1746.39</v>
      </c>
      <c r="Y29">
        <v>0.87220702445570997</v>
      </c>
      <c r="Z29">
        <v>0.40312710341548302</v>
      </c>
      <c r="AA29">
        <v>0.29723949553020901</v>
      </c>
      <c r="AB29">
        <v>0.96051921832804599</v>
      </c>
      <c r="AC29">
        <v>0.640043825635916</v>
      </c>
      <c r="AD29">
        <v>0.62235877703032205</v>
      </c>
      <c r="AE29">
        <v>0.50731169518433505</v>
      </c>
      <c r="AF29">
        <v>0.25696364830392998</v>
      </c>
      <c r="AG29">
        <v>0.48927038626609398</v>
      </c>
      <c r="AH29">
        <v>0.87220702445570997</v>
      </c>
      <c r="AI29">
        <v>0.40312710341548302</v>
      </c>
      <c r="AJ29">
        <v>0.29723949553020901</v>
      </c>
      <c r="AK29">
        <v>0.96051921832804599</v>
      </c>
      <c r="AL29">
        <v>0.640043825635916</v>
      </c>
      <c r="AM29">
        <v>0.62235877703032205</v>
      </c>
      <c r="AN29">
        <v>1.9742547186452599</v>
      </c>
      <c r="AO29">
        <v>1.0776091378501</v>
      </c>
      <c r="AP29">
        <v>0.48927038626609398</v>
      </c>
    </row>
    <row r="30" spans="1:42" x14ac:dyDescent="0.25">
      <c r="A30" t="s">
        <v>67</v>
      </c>
      <c r="B30" s="2" t="s">
        <v>98</v>
      </c>
      <c r="C30">
        <v>3989.87</v>
      </c>
      <c r="D30">
        <v>3506.93</v>
      </c>
      <c r="E30">
        <v>4509.08</v>
      </c>
      <c r="F30">
        <v>1524.21</v>
      </c>
      <c r="G30">
        <v>2037.03</v>
      </c>
      <c r="H30">
        <v>5378.16</v>
      </c>
      <c r="I30">
        <v>8063.84</v>
      </c>
      <c r="J30">
        <v>8445.92</v>
      </c>
      <c r="K30">
        <v>5275.3</v>
      </c>
      <c r="L30">
        <v>150.44</v>
      </c>
      <c r="M30">
        <v>149.44999999999999</v>
      </c>
      <c r="N30">
        <v>1161.79</v>
      </c>
      <c r="O30">
        <v>771.41</v>
      </c>
      <c r="P30">
        <v>2371.4699999999998</v>
      </c>
      <c r="Q30">
        <v>644.16</v>
      </c>
      <c r="R30">
        <v>637.57000000000005</v>
      </c>
      <c r="S30">
        <v>848.4</v>
      </c>
      <c r="T30">
        <v>1365.23</v>
      </c>
      <c r="U30">
        <v>1470.59</v>
      </c>
      <c r="V30">
        <v>1546.04</v>
      </c>
      <c r="W30">
        <v>1937.82</v>
      </c>
      <c r="X30">
        <v>1874.06</v>
      </c>
      <c r="Y30">
        <v>0.88485234238469901</v>
      </c>
      <c r="Z30">
        <v>0.33803126136595402</v>
      </c>
      <c r="AA30">
        <v>0.45176177845591498</v>
      </c>
      <c r="AB30">
        <v>0.98087449982893704</v>
      </c>
      <c r="AC30">
        <v>0.65419204746125903</v>
      </c>
      <c r="AD30">
        <v>0.62459743876333096</v>
      </c>
      <c r="AE30">
        <v>0.66398402465161499</v>
      </c>
      <c r="AF30">
        <v>0.32528769075720898</v>
      </c>
      <c r="AG30">
        <v>0.75149693540782603</v>
      </c>
      <c r="AH30">
        <v>0.88485234238469901</v>
      </c>
      <c r="AI30">
        <v>0.33803126136595402</v>
      </c>
      <c r="AJ30">
        <v>0.45176177845591498</v>
      </c>
      <c r="AK30">
        <v>0.98087449982893704</v>
      </c>
      <c r="AL30">
        <v>0.65419204746125903</v>
      </c>
      <c r="AM30">
        <v>0.62459743876333096</v>
      </c>
      <c r="AN30">
        <v>2.04122087468475</v>
      </c>
      <c r="AO30">
        <v>0.83504232509301102</v>
      </c>
      <c r="AP30">
        <v>0.75149693540782603</v>
      </c>
    </row>
    <row r="31" spans="1:42" x14ac:dyDescent="0.25">
      <c r="A31" t="s">
        <v>69</v>
      </c>
      <c r="B31" s="2" t="s">
        <v>98</v>
      </c>
      <c r="C31">
        <v>3924.1</v>
      </c>
      <c r="D31">
        <v>3674.2</v>
      </c>
      <c r="E31">
        <v>4628.1000000000004</v>
      </c>
      <c r="F31">
        <v>1520.68</v>
      </c>
      <c r="G31">
        <v>1960.05</v>
      </c>
      <c r="H31">
        <v>5572.03</v>
      </c>
      <c r="I31">
        <v>8504.85</v>
      </c>
      <c r="J31">
        <v>8645.7999999999993</v>
      </c>
      <c r="K31">
        <v>5370.97</v>
      </c>
      <c r="L31">
        <v>147.22</v>
      </c>
      <c r="M31">
        <v>153.72</v>
      </c>
      <c r="N31">
        <v>1381.05</v>
      </c>
      <c r="O31">
        <v>688.13</v>
      </c>
      <c r="P31">
        <v>2306.2399999999998</v>
      </c>
      <c r="Q31">
        <v>781.51</v>
      </c>
      <c r="R31">
        <v>593.42999999999995</v>
      </c>
      <c r="S31">
        <v>750.1</v>
      </c>
      <c r="T31">
        <v>1302.83</v>
      </c>
      <c r="U31">
        <v>1252.74</v>
      </c>
      <c r="V31">
        <v>1333.8</v>
      </c>
      <c r="W31">
        <v>1919.73</v>
      </c>
      <c r="X31">
        <v>1372.3</v>
      </c>
      <c r="Y31">
        <v>0.847885741448974</v>
      </c>
      <c r="Z31">
        <v>0.32857544132581401</v>
      </c>
      <c r="AA31">
        <v>0.423510727944512</v>
      </c>
      <c r="AB31">
        <v>0.96391620289194402</v>
      </c>
      <c r="AC31">
        <v>0.63151848651063802</v>
      </c>
      <c r="AD31">
        <v>0.62122302158273301</v>
      </c>
      <c r="AE31">
        <v>0.49826581224430599</v>
      </c>
      <c r="AF31">
        <v>0.29837744553905898</v>
      </c>
      <c r="AG31">
        <v>0.79113451539794599</v>
      </c>
      <c r="AH31">
        <v>0.847885741448974</v>
      </c>
      <c r="AI31">
        <v>0.32857544132581401</v>
      </c>
      <c r="AJ31">
        <v>0.423510727944512</v>
      </c>
      <c r="AK31">
        <v>0.96391620289194402</v>
      </c>
      <c r="AL31">
        <v>0.63151848651063802</v>
      </c>
      <c r="AM31">
        <v>0.62122302158273301</v>
      </c>
      <c r="AN31">
        <v>1.66991781615437</v>
      </c>
      <c r="AO31">
        <v>1.1357011029892601</v>
      </c>
      <c r="AP31">
        <v>0.79113451539794599</v>
      </c>
    </row>
    <row r="32" spans="1:42" x14ac:dyDescent="0.25">
      <c r="A32" t="s">
        <v>71</v>
      </c>
      <c r="B32" s="2" t="s">
        <v>98</v>
      </c>
      <c r="C32">
        <v>4045.97</v>
      </c>
      <c r="D32">
        <v>3735.48</v>
      </c>
      <c r="E32">
        <v>4851.8</v>
      </c>
      <c r="F32">
        <v>2094.7399999999998</v>
      </c>
      <c r="G32">
        <v>1561.72</v>
      </c>
      <c r="H32">
        <v>5714.28</v>
      </c>
      <c r="I32">
        <v>8678.7999999999993</v>
      </c>
      <c r="J32">
        <v>8890.2999999999993</v>
      </c>
      <c r="K32">
        <v>5692.37</v>
      </c>
      <c r="L32">
        <v>148.13</v>
      </c>
      <c r="M32">
        <v>160.78</v>
      </c>
      <c r="N32">
        <v>1340.22</v>
      </c>
      <c r="O32">
        <v>677.48</v>
      </c>
      <c r="P32">
        <v>2208.63</v>
      </c>
      <c r="Q32">
        <v>785.06</v>
      </c>
      <c r="R32">
        <v>503.96</v>
      </c>
      <c r="S32">
        <v>895.77</v>
      </c>
      <c r="T32">
        <v>1515.85</v>
      </c>
      <c r="U32">
        <v>1530.4</v>
      </c>
      <c r="V32">
        <v>1558.83</v>
      </c>
      <c r="W32">
        <v>2000.67</v>
      </c>
      <c r="X32">
        <v>1604.48</v>
      </c>
      <c r="Y32">
        <v>0.83391112576775595</v>
      </c>
      <c r="Z32">
        <v>0.43174491941135201</v>
      </c>
      <c r="AA32">
        <v>0.32188466136279298</v>
      </c>
      <c r="AB32">
        <v>0.99616574616574605</v>
      </c>
      <c r="AC32">
        <v>0.65589367193621195</v>
      </c>
      <c r="AD32">
        <v>0.64028997896583895</v>
      </c>
      <c r="AE32">
        <v>0.505499097163152</v>
      </c>
      <c r="AF32">
        <v>0.30674218859655</v>
      </c>
      <c r="AG32">
        <v>0.56259977449568499</v>
      </c>
      <c r="AH32">
        <v>0.83391112576775595</v>
      </c>
      <c r="AI32">
        <v>0.43174491941135201</v>
      </c>
      <c r="AJ32">
        <v>0.32188466136279298</v>
      </c>
      <c r="AK32">
        <v>0.99616574616574605</v>
      </c>
      <c r="AL32">
        <v>0.65589367193621195</v>
      </c>
      <c r="AM32">
        <v>0.64028997896583895</v>
      </c>
      <c r="AN32">
        <v>1.64796078255808</v>
      </c>
      <c r="AO32">
        <v>1.1587943555529301</v>
      </c>
      <c r="AP32">
        <v>0.56259977449568499</v>
      </c>
    </row>
    <row r="33" spans="1:42" x14ac:dyDescent="0.25">
      <c r="A33" t="s">
        <v>72</v>
      </c>
      <c r="B33" s="2" t="s">
        <v>98</v>
      </c>
      <c r="C33">
        <v>3862.44</v>
      </c>
      <c r="D33">
        <v>3499.71</v>
      </c>
      <c r="E33">
        <v>4597.01</v>
      </c>
      <c r="F33">
        <v>1379.67</v>
      </c>
      <c r="G33">
        <v>1750.32</v>
      </c>
      <c r="H33">
        <v>5231.88</v>
      </c>
      <c r="I33">
        <v>7912.14</v>
      </c>
      <c r="J33">
        <v>8363.66</v>
      </c>
      <c r="K33">
        <v>5284.65</v>
      </c>
      <c r="L33">
        <v>149.88999999999999</v>
      </c>
      <c r="M33">
        <v>149.30000000000001</v>
      </c>
      <c r="N33">
        <v>1035.3599999999999</v>
      </c>
      <c r="O33">
        <v>536.65</v>
      </c>
      <c r="P33">
        <v>2133.69</v>
      </c>
      <c r="Q33">
        <v>714.86</v>
      </c>
      <c r="R33">
        <v>666.95</v>
      </c>
      <c r="S33">
        <v>683.7</v>
      </c>
      <c r="T33">
        <v>1309.74</v>
      </c>
      <c r="U33">
        <v>1338.57</v>
      </c>
      <c r="V33">
        <v>1424.64</v>
      </c>
      <c r="W33">
        <v>1862.11</v>
      </c>
      <c r="X33">
        <v>1373.94</v>
      </c>
      <c r="Y33">
        <v>0.84020700411789395</v>
      </c>
      <c r="Z33">
        <v>0.300123341041242</v>
      </c>
      <c r="AA33">
        <v>0.38075183651982403</v>
      </c>
      <c r="AB33">
        <v>1.0100862405101001</v>
      </c>
      <c r="AC33">
        <v>0.66791664454875599</v>
      </c>
      <c r="AE33">
        <v>0.51832212950084999</v>
      </c>
      <c r="AF33">
        <v>0.25151263773087901</v>
      </c>
      <c r="AG33">
        <v>0.97550095070937504</v>
      </c>
      <c r="AH33">
        <v>0.84020700411789395</v>
      </c>
      <c r="AI33">
        <v>0.300123341041242</v>
      </c>
      <c r="AJ33">
        <v>0.38075183651982403</v>
      </c>
      <c r="AK33">
        <v>1.0100862405101001</v>
      </c>
      <c r="AL33">
        <v>0.66791664454875599</v>
      </c>
      <c r="AM33">
        <v>0.63185854039977696</v>
      </c>
      <c r="AN33">
        <v>2.0608194251274901</v>
      </c>
      <c r="AO33">
        <v>1.3320786359824801</v>
      </c>
      <c r="AP33">
        <v>0.97550095070937504</v>
      </c>
    </row>
    <row r="34" spans="1:42" x14ac:dyDescent="0.25">
      <c r="A34" t="s">
        <v>73</v>
      </c>
      <c r="B34" s="2" t="s">
        <v>98</v>
      </c>
      <c r="C34">
        <v>4207.99</v>
      </c>
      <c r="D34">
        <v>4090.03</v>
      </c>
      <c r="E34">
        <v>5058.53</v>
      </c>
      <c r="F34">
        <v>1651.85</v>
      </c>
      <c r="G34">
        <v>2194.4899999999998</v>
      </c>
      <c r="H34">
        <v>5896.09</v>
      </c>
      <c r="I34">
        <v>8986.76</v>
      </c>
      <c r="J34">
        <v>9495.57</v>
      </c>
      <c r="K34">
        <v>4871.22</v>
      </c>
      <c r="L34">
        <v>144.65</v>
      </c>
      <c r="M34">
        <v>157.37</v>
      </c>
      <c r="N34">
        <v>1519.42</v>
      </c>
      <c r="O34">
        <v>755.16</v>
      </c>
      <c r="P34">
        <v>2409.8200000000002</v>
      </c>
      <c r="Q34">
        <v>659.39</v>
      </c>
      <c r="R34">
        <v>642.91</v>
      </c>
      <c r="S34">
        <v>803.04</v>
      </c>
      <c r="T34">
        <v>1577.88</v>
      </c>
      <c r="U34">
        <v>1572.8</v>
      </c>
      <c r="V34">
        <v>1687.42</v>
      </c>
      <c r="W34">
        <v>2507.13</v>
      </c>
      <c r="X34">
        <v>1530.18</v>
      </c>
      <c r="Y34">
        <v>0.831860243983924</v>
      </c>
      <c r="Z34">
        <v>0.32654743571749101</v>
      </c>
      <c r="AA34">
        <v>0.43381970651552898</v>
      </c>
      <c r="AB34">
        <v>0.82617802645481997</v>
      </c>
      <c r="AC34">
        <v>0.54204407372623697</v>
      </c>
      <c r="AD34">
        <v>0.51299921963610395</v>
      </c>
      <c r="AE34">
        <v>0.49700543628489802</v>
      </c>
      <c r="AF34">
        <v>0.31336780340440301</v>
      </c>
      <c r="AG34">
        <v>0.80059523809523803</v>
      </c>
      <c r="AH34">
        <v>0.831860243983924</v>
      </c>
      <c r="AI34">
        <v>0.32654743571749101</v>
      </c>
      <c r="AJ34">
        <v>0.43381970651552898</v>
      </c>
      <c r="AK34">
        <v>0.82617802645481997</v>
      </c>
      <c r="AL34">
        <v>0.54204407372623697</v>
      </c>
      <c r="AM34">
        <v>0.51299921963610395</v>
      </c>
      <c r="AN34">
        <v>1.58601308393992</v>
      </c>
      <c r="AO34">
        <v>0.87317919381323095</v>
      </c>
      <c r="AP34">
        <v>0.80059523809523803</v>
      </c>
    </row>
    <row r="35" spans="1:42" x14ac:dyDescent="0.25">
      <c r="A35" t="s">
        <v>74</v>
      </c>
      <c r="B35" s="2" t="s">
        <v>98</v>
      </c>
      <c r="C35">
        <v>4310.1099999999997</v>
      </c>
      <c r="D35">
        <v>3871.48</v>
      </c>
      <c r="E35">
        <v>4836.41</v>
      </c>
      <c r="F35">
        <v>1663.11</v>
      </c>
      <c r="G35">
        <v>2091.39</v>
      </c>
      <c r="H35">
        <v>5582.49</v>
      </c>
      <c r="I35">
        <v>8371.27</v>
      </c>
      <c r="J35">
        <v>8923.75</v>
      </c>
      <c r="K35">
        <v>5567.72</v>
      </c>
      <c r="L35">
        <v>150.56</v>
      </c>
      <c r="M35">
        <v>149.15</v>
      </c>
      <c r="N35">
        <v>1212.82</v>
      </c>
      <c r="O35">
        <v>684.54</v>
      </c>
      <c r="P35">
        <v>2352.23</v>
      </c>
      <c r="Q35">
        <v>910.08</v>
      </c>
      <c r="R35">
        <v>612.79</v>
      </c>
      <c r="S35">
        <v>917</v>
      </c>
      <c r="T35">
        <v>1370.23</v>
      </c>
      <c r="U35">
        <v>1384.7</v>
      </c>
      <c r="V35">
        <v>1449.36</v>
      </c>
      <c r="W35">
        <v>1874.7</v>
      </c>
      <c r="X35">
        <v>1601.07</v>
      </c>
      <c r="Y35">
        <v>0.89117961463151296</v>
      </c>
      <c r="Z35">
        <v>0.34387283129428597</v>
      </c>
      <c r="AA35">
        <v>0.43242611771954798</v>
      </c>
      <c r="AB35">
        <v>0.99735422723551603</v>
      </c>
      <c r="AC35">
        <v>0.665098605110096</v>
      </c>
      <c r="AD35">
        <v>0.623921557641126</v>
      </c>
      <c r="AE35">
        <v>0.56442011180554397</v>
      </c>
      <c r="AF35">
        <v>0.29101746002729301</v>
      </c>
      <c r="AG35">
        <v>0.66825517993456895</v>
      </c>
      <c r="AH35">
        <v>0.89117961463151296</v>
      </c>
      <c r="AI35">
        <v>0.34387283129428597</v>
      </c>
      <c r="AJ35">
        <v>0.43242611771954798</v>
      </c>
      <c r="AK35">
        <v>0.99735422723551603</v>
      </c>
      <c r="AL35">
        <v>0.665098605110096</v>
      </c>
      <c r="AM35">
        <v>0.623921557641126</v>
      </c>
      <c r="AN35">
        <v>1.93947164459689</v>
      </c>
      <c r="AO35">
        <v>1.3294767288982301</v>
      </c>
      <c r="AP35">
        <v>0.66825517993456895</v>
      </c>
    </row>
    <row r="36" spans="1:42" x14ac:dyDescent="0.25">
      <c r="A36" t="s">
        <v>75</v>
      </c>
      <c r="B36" s="2" t="s">
        <v>98</v>
      </c>
      <c r="C36">
        <v>4477.21</v>
      </c>
      <c r="D36">
        <v>4020.76</v>
      </c>
      <c r="E36">
        <v>4969.25</v>
      </c>
      <c r="F36">
        <v>1830.78</v>
      </c>
      <c r="G36">
        <v>2363.89</v>
      </c>
      <c r="H36">
        <v>6054.12</v>
      </c>
      <c r="I36">
        <v>8994.2000000000007</v>
      </c>
      <c r="J36">
        <v>9478.35</v>
      </c>
      <c r="K36">
        <v>6004.95</v>
      </c>
      <c r="L36">
        <v>144.09</v>
      </c>
      <c r="M36">
        <v>151.1</v>
      </c>
      <c r="N36">
        <v>1386.51</v>
      </c>
      <c r="O36">
        <v>823.87</v>
      </c>
      <c r="P36">
        <v>2494.29</v>
      </c>
      <c r="Q36">
        <v>768.56</v>
      </c>
      <c r="R36">
        <v>654.5</v>
      </c>
      <c r="S36">
        <v>925.9</v>
      </c>
      <c r="T36">
        <v>1559.14</v>
      </c>
      <c r="U36">
        <v>1506.02</v>
      </c>
      <c r="V36">
        <v>1471.37</v>
      </c>
      <c r="W36">
        <v>2491.27</v>
      </c>
      <c r="X36">
        <v>1831.27</v>
      </c>
      <c r="Y36">
        <v>0.90098304573124699</v>
      </c>
      <c r="Z36">
        <v>0.368421794033304</v>
      </c>
      <c r="AA36">
        <v>0.47570357699854099</v>
      </c>
      <c r="AB36">
        <v>0.99187825811183095</v>
      </c>
      <c r="AC36">
        <v>0.66764692802027903</v>
      </c>
      <c r="AD36">
        <v>0.63354381300542795</v>
      </c>
      <c r="AE36">
        <v>0.59420415287304096</v>
      </c>
      <c r="AF36">
        <v>0.33030241070605199</v>
      </c>
      <c r="AG36">
        <v>0.70687979263419298</v>
      </c>
      <c r="AH36">
        <v>0.90098304573124699</v>
      </c>
      <c r="AI36">
        <v>0.368421794033304</v>
      </c>
      <c r="AJ36">
        <v>0.47570357699854099</v>
      </c>
      <c r="AK36">
        <v>0.99187825811183095</v>
      </c>
      <c r="AL36">
        <v>0.66764692802027903</v>
      </c>
      <c r="AM36">
        <v>0.63354381300542795</v>
      </c>
      <c r="AN36">
        <v>1.79897007594608</v>
      </c>
      <c r="AO36">
        <v>0.93286562200347101</v>
      </c>
      <c r="AP36">
        <v>0.70687979263419298</v>
      </c>
    </row>
    <row r="37" spans="1:42" x14ac:dyDescent="0.25">
      <c r="A37" t="s">
        <v>76</v>
      </c>
      <c r="B37" s="2" t="s">
        <v>98</v>
      </c>
      <c r="C37">
        <v>4134.28</v>
      </c>
      <c r="D37">
        <v>4009.18</v>
      </c>
      <c r="E37">
        <v>4895.32</v>
      </c>
      <c r="F37">
        <v>1702.28</v>
      </c>
      <c r="G37">
        <v>2261.59</v>
      </c>
      <c r="H37">
        <v>5734.82</v>
      </c>
      <c r="I37">
        <v>8794.98</v>
      </c>
      <c r="J37">
        <v>9392.86</v>
      </c>
      <c r="K37">
        <v>6012.14</v>
      </c>
      <c r="L37">
        <v>151.22999999999999</v>
      </c>
      <c r="M37">
        <v>164.38</v>
      </c>
      <c r="N37">
        <v>1448.98</v>
      </c>
      <c r="O37">
        <v>659.47</v>
      </c>
      <c r="P37">
        <v>2404.8200000000002</v>
      </c>
      <c r="Q37">
        <v>784.58</v>
      </c>
      <c r="R37">
        <v>597.63</v>
      </c>
      <c r="S37">
        <v>929.92</v>
      </c>
      <c r="T37">
        <v>1454.5</v>
      </c>
      <c r="U37">
        <v>1489.44</v>
      </c>
      <c r="V37">
        <v>1582.92</v>
      </c>
      <c r="W37">
        <v>2324.2199999999998</v>
      </c>
      <c r="X37">
        <v>1868.85</v>
      </c>
      <c r="Y37">
        <v>0.84453723147822801</v>
      </c>
      <c r="Z37">
        <v>0.34773620519189702</v>
      </c>
      <c r="AA37">
        <v>0.46199022740086398</v>
      </c>
      <c r="AB37">
        <v>1.0483572283000999</v>
      </c>
      <c r="AC37">
        <v>0.68358768297369599</v>
      </c>
      <c r="AD37">
        <v>0.64007554674508005</v>
      </c>
      <c r="AE37">
        <v>0.45512705489378702</v>
      </c>
      <c r="AF37">
        <v>0.27422842458063301</v>
      </c>
      <c r="AG37">
        <v>0.64266818651066704</v>
      </c>
      <c r="AH37">
        <v>0.84453723147822801</v>
      </c>
      <c r="AI37">
        <v>0.34773620519189702</v>
      </c>
      <c r="AJ37">
        <v>0.46199022740086398</v>
      </c>
      <c r="AK37">
        <v>1.0483572283000999</v>
      </c>
      <c r="AL37">
        <v>0.68358768297369599</v>
      </c>
      <c r="AM37">
        <v>0.64007554674508005</v>
      </c>
      <c r="AN37">
        <v>1.6596640395312501</v>
      </c>
      <c r="AO37">
        <v>1.18971295130938</v>
      </c>
      <c r="AP37">
        <v>0.64266818651066704</v>
      </c>
    </row>
    <row r="38" spans="1:42" x14ac:dyDescent="0.25">
      <c r="A38" t="s">
        <v>77</v>
      </c>
      <c r="B38" s="2" t="s">
        <v>98</v>
      </c>
      <c r="C38">
        <v>4117.55</v>
      </c>
      <c r="D38">
        <v>3584.51</v>
      </c>
      <c r="E38">
        <v>4739.3599999999997</v>
      </c>
      <c r="F38">
        <v>1484.83</v>
      </c>
      <c r="G38">
        <v>2006.04</v>
      </c>
      <c r="H38">
        <v>5639.24</v>
      </c>
      <c r="I38">
        <v>8186.13</v>
      </c>
      <c r="J38">
        <v>8953.1</v>
      </c>
      <c r="K38">
        <v>5483.97</v>
      </c>
      <c r="L38">
        <v>151.16999999999999</v>
      </c>
      <c r="M38">
        <v>155.05000000000001</v>
      </c>
      <c r="N38">
        <v>1324.39</v>
      </c>
      <c r="O38">
        <v>640.19000000000005</v>
      </c>
      <c r="P38">
        <v>2429.4299999999998</v>
      </c>
      <c r="Q38">
        <v>956.22</v>
      </c>
      <c r="R38">
        <v>590.94000000000005</v>
      </c>
      <c r="S38">
        <v>853.74</v>
      </c>
      <c r="T38">
        <v>1425.46</v>
      </c>
      <c r="U38">
        <v>1381.22</v>
      </c>
      <c r="V38">
        <v>1463.85</v>
      </c>
      <c r="W38">
        <v>1861.98</v>
      </c>
      <c r="X38">
        <v>1199.02</v>
      </c>
      <c r="Y38">
        <v>0.86879874075824504</v>
      </c>
      <c r="Z38">
        <v>0.31329757604402197</v>
      </c>
      <c r="AA38">
        <v>0.42327234056919</v>
      </c>
      <c r="AB38">
        <v>0.97246614792064201</v>
      </c>
      <c r="AC38">
        <v>0.66990995745242199</v>
      </c>
      <c r="AD38">
        <v>0.61252191978197501</v>
      </c>
      <c r="AE38">
        <v>0.48338480356994501</v>
      </c>
      <c r="AF38">
        <v>0.26351448693726498</v>
      </c>
      <c r="AG38">
        <v>0.69217794644739605</v>
      </c>
      <c r="AH38">
        <v>0.86879874075824504</v>
      </c>
      <c r="AI38">
        <v>0.31329757604402197</v>
      </c>
      <c r="AJ38">
        <v>0.42327234056919</v>
      </c>
      <c r="AK38">
        <v>0.97246614792064101</v>
      </c>
      <c r="AL38">
        <v>0.66990995745242199</v>
      </c>
      <c r="AM38">
        <v>0.61252191978197501</v>
      </c>
      <c r="AN38">
        <v>1.83437658091649</v>
      </c>
      <c r="AO38">
        <v>1.49365032256048</v>
      </c>
      <c r="AP38">
        <v>0.69217794644739605</v>
      </c>
    </row>
    <row r="39" spans="1:42" x14ac:dyDescent="0.25">
      <c r="A39" t="s">
        <v>78</v>
      </c>
      <c r="B39" s="2" t="s">
        <v>98</v>
      </c>
      <c r="C39">
        <v>4000.29</v>
      </c>
      <c r="D39">
        <v>4037.84</v>
      </c>
      <c r="E39">
        <v>4972.28</v>
      </c>
      <c r="F39">
        <v>1599.46</v>
      </c>
      <c r="G39">
        <v>2077.79</v>
      </c>
      <c r="H39">
        <v>5779.71</v>
      </c>
      <c r="I39">
        <v>8880.82</v>
      </c>
      <c r="J39">
        <v>9416.34</v>
      </c>
      <c r="K39">
        <v>5878.9</v>
      </c>
      <c r="L39">
        <v>148.46</v>
      </c>
      <c r="M39">
        <v>152.85</v>
      </c>
      <c r="N39">
        <v>1438.94</v>
      </c>
      <c r="O39">
        <v>843.99</v>
      </c>
      <c r="P39">
        <v>2538.54</v>
      </c>
      <c r="Q39">
        <v>1076.3499999999999</v>
      </c>
      <c r="R39">
        <v>668.04</v>
      </c>
      <c r="S39">
        <v>876.15</v>
      </c>
      <c r="T39">
        <v>1510.9</v>
      </c>
      <c r="U39">
        <v>1513.25</v>
      </c>
      <c r="V39">
        <v>1613.98</v>
      </c>
      <c r="W39">
        <v>2462.41</v>
      </c>
      <c r="X39">
        <v>1672.15</v>
      </c>
      <c r="Y39">
        <v>0.80451824917341697</v>
      </c>
      <c r="Z39">
        <v>0.32167536824153098</v>
      </c>
      <c r="AA39">
        <v>0.41787469732195198</v>
      </c>
      <c r="AB39">
        <v>1.01716176071117</v>
      </c>
      <c r="AC39">
        <v>0.66197715976677796</v>
      </c>
      <c r="AD39">
        <v>0.624329622762134</v>
      </c>
      <c r="AE39">
        <v>0.58653592227611995</v>
      </c>
      <c r="AF39">
        <v>0.332470632725897</v>
      </c>
      <c r="AG39">
        <v>0.76247217942133105</v>
      </c>
      <c r="AH39">
        <v>0.80451824917341697</v>
      </c>
      <c r="AI39">
        <v>0.32167536824153098</v>
      </c>
      <c r="AJ39">
        <v>0.41787469732195198</v>
      </c>
      <c r="AK39">
        <v>1.01716176071117</v>
      </c>
      <c r="AL39">
        <v>0.66197715976677796</v>
      </c>
      <c r="AM39">
        <v>0.624329622762134</v>
      </c>
      <c r="AN39">
        <v>1.7641736278093501</v>
      </c>
      <c r="AO39">
        <v>1.27531131885448</v>
      </c>
      <c r="AP39">
        <v>0.76247217942133105</v>
      </c>
    </row>
    <row r="40" spans="1:42" x14ac:dyDescent="0.25">
      <c r="A40" t="s">
        <v>79</v>
      </c>
      <c r="B40" s="2" t="s">
        <v>98</v>
      </c>
      <c r="C40">
        <v>4505.37</v>
      </c>
      <c r="D40">
        <v>3814.1</v>
      </c>
      <c r="E40">
        <v>4786.9399999999996</v>
      </c>
      <c r="F40">
        <v>1632.58</v>
      </c>
      <c r="G40">
        <v>2174</v>
      </c>
      <c r="H40">
        <v>5926.81</v>
      </c>
      <c r="I40">
        <v>8621.43</v>
      </c>
      <c r="J40">
        <v>9022.0499999999993</v>
      </c>
      <c r="K40">
        <v>5455.91</v>
      </c>
      <c r="L40">
        <v>149.38</v>
      </c>
      <c r="M40">
        <v>154.86000000000001</v>
      </c>
      <c r="N40">
        <v>1360.45</v>
      </c>
      <c r="O40">
        <v>651.66</v>
      </c>
      <c r="P40">
        <v>2285.56</v>
      </c>
      <c r="Q40">
        <v>855.95</v>
      </c>
      <c r="R40">
        <v>506.81</v>
      </c>
      <c r="S40">
        <v>716.15</v>
      </c>
      <c r="T40">
        <v>1525.27</v>
      </c>
      <c r="U40">
        <v>1532.5</v>
      </c>
      <c r="V40">
        <v>1537.63</v>
      </c>
      <c r="W40">
        <v>2307.4899999999998</v>
      </c>
      <c r="X40">
        <v>1815.1</v>
      </c>
      <c r="Y40">
        <v>0.94117954267235404</v>
      </c>
      <c r="Z40">
        <v>0.341048770195573</v>
      </c>
      <c r="AA40">
        <v>0.45415233949036299</v>
      </c>
      <c r="AB40">
        <v>0.92054747832307704</v>
      </c>
      <c r="AC40">
        <v>0.63283121245547402</v>
      </c>
      <c r="AD40">
        <v>0.60473063217339695</v>
      </c>
      <c r="AE40">
        <v>0.47900327097651502</v>
      </c>
      <c r="AF40">
        <v>0.28512049563345498</v>
      </c>
      <c r="AG40">
        <v>0.70768693709418395</v>
      </c>
      <c r="AH40">
        <v>0.94117954267235404</v>
      </c>
      <c r="AI40">
        <v>0.341048770195573</v>
      </c>
      <c r="AJ40">
        <v>0.45415233949036299</v>
      </c>
      <c r="AK40">
        <v>0.92054747832307704</v>
      </c>
      <c r="AL40">
        <v>0.63283121245547402</v>
      </c>
      <c r="AM40">
        <v>0.60473063217339695</v>
      </c>
      <c r="AN40">
        <v>1.6800029402036001</v>
      </c>
      <c r="AO40">
        <v>1.3134916981247799</v>
      </c>
      <c r="AP40">
        <v>0.70768693709418395</v>
      </c>
    </row>
    <row r="41" spans="1:42" x14ac:dyDescent="0.25">
      <c r="A41" t="s">
        <v>80</v>
      </c>
      <c r="B41" s="2" t="s">
        <v>98</v>
      </c>
      <c r="C41">
        <v>3836.37</v>
      </c>
      <c r="D41">
        <v>3599.31</v>
      </c>
      <c r="E41">
        <v>4731.99</v>
      </c>
      <c r="F41">
        <v>1470.47</v>
      </c>
      <c r="G41">
        <v>1883.11</v>
      </c>
      <c r="H41">
        <v>5641.74</v>
      </c>
      <c r="I41">
        <v>8537.5</v>
      </c>
      <c r="J41">
        <v>8996.2999999999993</v>
      </c>
      <c r="K41">
        <v>5764.17</v>
      </c>
      <c r="L41">
        <v>146.91</v>
      </c>
      <c r="M41">
        <v>152.1</v>
      </c>
      <c r="N41">
        <v>1242.28</v>
      </c>
      <c r="O41">
        <v>696.42</v>
      </c>
      <c r="P41">
        <v>2394.12</v>
      </c>
      <c r="Q41">
        <v>855.1</v>
      </c>
      <c r="R41">
        <v>566.54999999999995</v>
      </c>
      <c r="S41">
        <v>815.51</v>
      </c>
      <c r="T41">
        <v>1455.83</v>
      </c>
      <c r="U41">
        <v>1485.19</v>
      </c>
      <c r="V41">
        <v>1577.91</v>
      </c>
      <c r="W41">
        <v>2009.61</v>
      </c>
      <c r="X41">
        <v>1527.31</v>
      </c>
      <c r="Y41">
        <v>0.81073079190784403</v>
      </c>
      <c r="Z41">
        <v>0.31075086802803897</v>
      </c>
      <c r="AA41">
        <v>0.39795308105046701</v>
      </c>
      <c r="AB41">
        <v>1.02170075189569</v>
      </c>
      <c r="AC41">
        <v>0.67515900439238596</v>
      </c>
      <c r="AD41">
        <v>0.64072674321665501</v>
      </c>
      <c r="AE41">
        <v>0.56059825482177905</v>
      </c>
      <c r="AF41">
        <v>0.29088767480326799</v>
      </c>
      <c r="AG41">
        <v>0.69471864232198199</v>
      </c>
      <c r="AH41">
        <v>0.81073079190784403</v>
      </c>
      <c r="AI41">
        <v>0.31075086802803897</v>
      </c>
      <c r="AJ41">
        <v>0.39795308105046701</v>
      </c>
      <c r="AK41">
        <v>1.02170075189569</v>
      </c>
      <c r="AL41">
        <v>0.67515900439238596</v>
      </c>
      <c r="AM41">
        <v>0.64072674321665501</v>
      </c>
      <c r="AN41">
        <v>1.9271983771774399</v>
      </c>
      <c r="AO41">
        <v>1.2278510094483199</v>
      </c>
      <c r="AP41">
        <v>0.69471864232198199</v>
      </c>
    </row>
    <row r="42" spans="1:42" x14ac:dyDescent="0.25">
      <c r="A42" t="s">
        <v>81</v>
      </c>
      <c r="B42" s="2" t="s">
        <v>98</v>
      </c>
      <c r="C42">
        <v>4088.12</v>
      </c>
      <c r="D42">
        <v>3946.79</v>
      </c>
      <c r="E42">
        <v>4836.32</v>
      </c>
      <c r="F42">
        <v>1740.6</v>
      </c>
      <c r="G42">
        <v>2302.6</v>
      </c>
      <c r="H42">
        <v>5760.88</v>
      </c>
      <c r="I42">
        <v>8812.01</v>
      </c>
      <c r="J42">
        <v>9670.86</v>
      </c>
      <c r="K42">
        <v>5896.94</v>
      </c>
      <c r="L42">
        <v>151.51</v>
      </c>
      <c r="M42">
        <v>150.11000000000001</v>
      </c>
      <c r="N42">
        <v>1448.77</v>
      </c>
      <c r="O42">
        <v>800.33</v>
      </c>
      <c r="P42">
        <v>2421.58</v>
      </c>
      <c r="Q42">
        <v>952.27</v>
      </c>
      <c r="R42">
        <v>645.99</v>
      </c>
      <c r="S42">
        <v>822.58</v>
      </c>
      <c r="T42">
        <v>1406.24</v>
      </c>
      <c r="U42">
        <v>1482.8</v>
      </c>
      <c r="V42">
        <v>1587.51</v>
      </c>
      <c r="W42">
        <v>2349.86</v>
      </c>
      <c r="X42">
        <v>1811.6</v>
      </c>
      <c r="Y42">
        <v>0.84529559665199905</v>
      </c>
      <c r="Z42">
        <v>0.35990174347437698</v>
      </c>
      <c r="AA42">
        <v>0.47610579945082199</v>
      </c>
      <c r="AB42">
        <v>1.0236179194845201</v>
      </c>
      <c r="AC42">
        <v>0.66919352111493202</v>
      </c>
      <c r="AD42">
        <v>0.60976376454627601</v>
      </c>
      <c r="AE42">
        <v>0.55242032896871096</v>
      </c>
      <c r="AF42">
        <v>0.33049909563177698</v>
      </c>
      <c r="AG42">
        <v>0.78532179240924804</v>
      </c>
      <c r="AH42">
        <v>0.84529559665199905</v>
      </c>
      <c r="AI42">
        <v>0.35990174347437698</v>
      </c>
      <c r="AJ42">
        <v>0.47610579945082199</v>
      </c>
      <c r="AK42">
        <v>1.0236179194845201</v>
      </c>
      <c r="AL42">
        <v>0.66919352111493202</v>
      </c>
      <c r="AM42">
        <v>0.60976376454627601</v>
      </c>
      <c r="AN42">
        <v>1.67147304264997</v>
      </c>
      <c r="AO42">
        <v>1.1898466882411001</v>
      </c>
      <c r="AP42">
        <v>0.78532179240924804</v>
      </c>
    </row>
    <row r="43" spans="1:42" x14ac:dyDescent="0.25">
      <c r="A43" t="s">
        <v>82</v>
      </c>
      <c r="B43" s="2" t="s">
        <v>98</v>
      </c>
      <c r="C43">
        <v>4594.63</v>
      </c>
      <c r="D43">
        <v>3852.22</v>
      </c>
      <c r="E43">
        <v>4876.9399999999996</v>
      </c>
      <c r="F43">
        <v>1604.03</v>
      </c>
      <c r="G43">
        <v>2158.63</v>
      </c>
      <c r="H43">
        <v>5660.63</v>
      </c>
      <c r="I43">
        <v>8364.5300000000007</v>
      </c>
      <c r="J43">
        <v>9052.15</v>
      </c>
      <c r="K43">
        <v>5668.04</v>
      </c>
      <c r="L43">
        <v>150.16</v>
      </c>
      <c r="M43">
        <v>151.11000000000001</v>
      </c>
      <c r="N43">
        <v>1271.8599999999999</v>
      </c>
      <c r="O43">
        <v>651.26</v>
      </c>
      <c r="P43">
        <v>2546.59</v>
      </c>
      <c r="Q43">
        <v>901.65</v>
      </c>
      <c r="R43">
        <v>722.5</v>
      </c>
      <c r="S43">
        <v>944.49</v>
      </c>
      <c r="T43">
        <v>1422.92</v>
      </c>
      <c r="U43">
        <v>1426.88</v>
      </c>
      <c r="V43">
        <v>1512.94</v>
      </c>
      <c r="W43">
        <v>2088.15</v>
      </c>
      <c r="X43">
        <v>2485.2800000000002</v>
      </c>
      <c r="Y43">
        <v>0.94211329235135099</v>
      </c>
      <c r="Z43">
        <v>0.32890090917665499</v>
      </c>
      <c r="AA43">
        <v>0.44261975747087301</v>
      </c>
      <c r="AB43">
        <v>1.0013090415731101</v>
      </c>
      <c r="AC43">
        <v>0.67762803170052499</v>
      </c>
      <c r="AD43">
        <v>0.62615400761145101</v>
      </c>
      <c r="AE43">
        <v>0.51205321340399101</v>
      </c>
      <c r="AF43">
        <v>0.25573806541296401</v>
      </c>
      <c r="AG43">
        <v>0.76496310177979598</v>
      </c>
      <c r="AH43">
        <v>0.94211329235135099</v>
      </c>
      <c r="AI43">
        <v>0.32890090917665499</v>
      </c>
      <c r="AJ43">
        <v>0.44261975747087301</v>
      </c>
      <c r="AK43">
        <v>1.0013090415731101</v>
      </c>
      <c r="AL43">
        <v>0.67762803170052499</v>
      </c>
      <c r="AM43">
        <v>0.62615400761145101</v>
      </c>
      <c r="AN43">
        <v>2.0022565376692398</v>
      </c>
      <c r="AO43">
        <v>1.38447010410588</v>
      </c>
      <c r="AP43">
        <v>0.76496310177979598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EA39-4079-4998-BDA8-8AA1C63E9354}">
  <sheetPr codeName="Sheet2"/>
  <dimension ref="A1:AP36"/>
  <sheetViews>
    <sheetView topLeftCell="A10" workbookViewId="0">
      <selection activeCell="A14" sqref="A14:D36"/>
    </sheetView>
  </sheetViews>
  <sheetFormatPr defaultRowHeight="15" x14ac:dyDescent="0.25"/>
  <cols>
    <col min="1" max="1" width="15.140625" customWidth="1"/>
  </cols>
  <sheetData>
    <row r="1" spans="1:42" ht="15.75" thickBot="1" x14ac:dyDescent="0.3">
      <c r="A1" s="4" t="s">
        <v>0</v>
      </c>
      <c r="B1" s="5" t="s">
        <v>95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13" t="s">
        <v>40</v>
      </c>
    </row>
    <row r="2" spans="1:42" ht="15.75" thickBot="1" x14ac:dyDescent="0.3">
      <c r="A2" s="6" t="s">
        <v>41</v>
      </c>
      <c r="B2" s="16" t="s">
        <v>96</v>
      </c>
      <c r="C2" s="7">
        <v>4120.58</v>
      </c>
      <c r="D2" s="7">
        <v>3511.41</v>
      </c>
      <c r="E2" s="7">
        <v>4674.6099999999997</v>
      </c>
      <c r="F2" s="7">
        <v>1430.02</v>
      </c>
      <c r="G2" s="7">
        <v>1958.09</v>
      </c>
      <c r="H2" s="7">
        <v>5525.11</v>
      </c>
      <c r="I2" s="7">
        <v>7967.86</v>
      </c>
      <c r="J2" s="7">
        <v>8652.41</v>
      </c>
      <c r="K2" s="7">
        <v>5101.49</v>
      </c>
      <c r="L2" s="7">
        <v>155.26</v>
      </c>
      <c r="M2" s="7">
        <v>159.01</v>
      </c>
      <c r="N2" s="7">
        <v>1126.18</v>
      </c>
      <c r="O2" s="7">
        <v>734.86</v>
      </c>
      <c r="P2" s="7">
        <v>2132.02</v>
      </c>
      <c r="Q2" s="7">
        <v>680.01</v>
      </c>
      <c r="R2" s="7">
        <v>579.64</v>
      </c>
      <c r="S2" s="7">
        <v>713.8</v>
      </c>
      <c r="T2" s="7">
        <v>1385.64</v>
      </c>
      <c r="U2" s="7">
        <v>1399.18</v>
      </c>
      <c r="V2" s="7">
        <v>1475.44</v>
      </c>
      <c r="W2" s="7">
        <v>1857.42</v>
      </c>
      <c r="X2" s="7">
        <v>1662.46</v>
      </c>
      <c r="Y2" s="7">
        <v>0.88148102194621503</v>
      </c>
      <c r="Z2" s="7">
        <v>0.30591215096018698</v>
      </c>
      <c r="AA2" s="7">
        <v>0.41887772455883998</v>
      </c>
      <c r="AB2" s="7">
        <v>0.92332822332949005</v>
      </c>
      <c r="AC2" s="7">
        <v>0.64025848847745803</v>
      </c>
      <c r="AD2" s="7">
        <v>0.58960335906412198</v>
      </c>
      <c r="AE2" s="7">
        <v>0.65252446322967905</v>
      </c>
      <c r="AF2" s="7">
        <v>0.34467781728126301</v>
      </c>
      <c r="AG2" s="7">
        <v>0.81204819277108398</v>
      </c>
      <c r="AH2" s="7">
        <v>0.88148102194621503</v>
      </c>
      <c r="AI2" s="7">
        <v>0.30591215096018698</v>
      </c>
      <c r="AJ2" s="7">
        <v>0.41887772455883998</v>
      </c>
      <c r="AK2" s="7">
        <v>0.92332822332949005</v>
      </c>
      <c r="AL2" s="7">
        <v>0.64025848847745803</v>
      </c>
      <c r="AM2" s="7">
        <v>0.58960335906412198</v>
      </c>
      <c r="AN2" s="7">
        <v>1.8931431920296899</v>
      </c>
      <c r="AO2" s="7">
        <v>0.92535993250415005</v>
      </c>
      <c r="AP2" s="14">
        <v>0.81204819277108398</v>
      </c>
    </row>
    <row r="3" spans="1:42" ht="15.75" thickBot="1" x14ac:dyDescent="0.3">
      <c r="A3" s="8" t="s">
        <v>42</v>
      </c>
      <c r="B3" s="1" t="s">
        <v>96</v>
      </c>
      <c r="C3" s="9">
        <v>4117.2</v>
      </c>
      <c r="D3" s="9">
        <v>3529.93</v>
      </c>
      <c r="E3" s="9">
        <v>4475.22</v>
      </c>
      <c r="F3" s="9">
        <v>1462.5</v>
      </c>
      <c r="G3" s="9">
        <v>1922.14</v>
      </c>
      <c r="H3" s="9">
        <v>5352.33</v>
      </c>
      <c r="I3" s="9">
        <v>8099.2</v>
      </c>
      <c r="J3" s="9">
        <v>8615.3700000000008</v>
      </c>
      <c r="K3" s="9">
        <v>5225.63</v>
      </c>
      <c r="L3" s="9">
        <v>148.97999999999999</v>
      </c>
      <c r="M3" s="9">
        <v>154.41999999999999</v>
      </c>
      <c r="N3" s="9">
        <v>1139.25</v>
      </c>
      <c r="O3" s="9">
        <v>624.41</v>
      </c>
      <c r="P3" s="9">
        <v>2278.6799999999998</v>
      </c>
      <c r="Q3" s="9">
        <v>650.62</v>
      </c>
      <c r="R3" s="9">
        <v>507.14</v>
      </c>
      <c r="S3" s="9">
        <v>848.75</v>
      </c>
      <c r="T3" s="9">
        <v>1307.6600000000001</v>
      </c>
      <c r="U3" s="9">
        <v>1265.19</v>
      </c>
      <c r="V3" s="9">
        <v>1341.08</v>
      </c>
      <c r="W3" s="9">
        <v>1776.71</v>
      </c>
      <c r="X3" s="9">
        <v>943.28</v>
      </c>
      <c r="Y3" s="9">
        <v>0.91999946371351504</v>
      </c>
      <c r="Z3" s="9">
        <v>0.32679957633367701</v>
      </c>
      <c r="AA3" s="9">
        <v>0.42950737617368501</v>
      </c>
      <c r="AB3" s="9">
        <v>0.97632806646824799</v>
      </c>
      <c r="AC3" s="9">
        <v>0.64520322994863599</v>
      </c>
      <c r="AD3" s="9">
        <v>0.606547368249999</v>
      </c>
      <c r="AE3" s="9">
        <v>0.54808865481676505</v>
      </c>
      <c r="AF3" s="9">
        <v>0.27402267979707501</v>
      </c>
      <c r="AG3" s="9">
        <v>0.59751399116347503</v>
      </c>
      <c r="AH3" s="9">
        <v>0.91999946371351504</v>
      </c>
      <c r="AI3" s="9">
        <v>0.32679957633367701</v>
      </c>
      <c r="AJ3" s="9">
        <v>0.42950737617368501</v>
      </c>
      <c r="AK3" s="9">
        <v>0.97632806646824799</v>
      </c>
      <c r="AL3" s="9">
        <v>0.64520322994863599</v>
      </c>
      <c r="AM3" s="9">
        <v>0.606547368249999</v>
      </c>
      <c r="AN3" s="9">
        <v>2.0001579986833402</v>
      </c>
      <c r="AO3" s="9">
        <v>1.0419756249899901</v>
      </c>
      <c r="AP3" s="15">
        <v>0.59751399116347503</v>
      </c>
    </row>
    <row r="4" spans="1:42" ht="15.75" thickBot="1" x14ac:dyDescent="0.3">
      <c r="A4" s="6" t="s">
        <v>43</v>
      </c>
      <c r="B4" s="16" t="s">
        <v>96</v>
      </c>
      <c r="C4" s="7">
        <v>3971.18</v>
      </c>
      <c r="D4" s="7">
        <v>3584</v>
      </c>
      <c r="E4" s="7">
        <v>4563.49</v>
      </c>
      <c r="F4" s="7">
        <v>1402.85</v>
      </c>
      <c r="G4" s="7">
        <v>1924.31</v>
      </c>
      <c r="H4" s="7">
        <v>5360.7</v>
      </c>
      <c r="I4" s="7">
        <v>8185.66</v>
      </c>
      <c r="J4" s="7">
        <v>8495.9</v>
      </c>
      <c r="K4" s="7">
        <v>5436.72</v>
      </c>
      <c r="L4" s="7">
        <v>149.16</v>
      </c>
      <c r="M4" s="7">
        <v>156.41999999999999</v>
      </c>
      <c r="N4" s="7">
        <v>1140.48</v>
      </c>
      <c r="O4" s="7">
        <v>712.7</v>
      </c>
      <c r="P4" s="7">
        <v>2275.5</v>
      </c>
      <c r="Q4" s="7">
        <v>828.78</v>
      </c>
      <c r="R4" s="7">
        <v>420.73</v>
      </c>
      <c r="S4" s="7">
        <v>860.66</v>
      </c>
      <c r="T4" s="7">
        <v>1424.02</v>
      </c>
      <c r="U4" s="7">
        <v>1374.55</v>
      </c>
      <c r="V4" s="7">
        <v>1375.56</v>
      </c>
      <c r="W4" s="7">
        <v>1891.07</v>
      </c>
      <c r="X4" s="7">
        <v>1692.07</v>
      </c>
      <c r="Y4" s="7">
        <v>0.870206793484811</v>
      </c>
      <c r="Z4" s="7">
        <v>0.30740726943633001</v>
      </c>
      <c r="AA4" s="7">
        <v>0.42167507762699102</v>
      </c>
      <c r="AB4" s="7">
        <v>1.0141809838267299</v>
      </c>
      <c r="AC4" s="7">
        <v>0.66417613240716</v>
      </c>
      <c r="AD4" s="7">
        <v>0.63992278628514898</v>
      </c>
      <c r="AE4" s="7">
        <v>0.62491231762065103</v>
      </c>
      <c r="AF4" s="7">
        <v>0.31320588881564398</v>
      </c>
      <c r="AG4" s="7">
        <v>0.48884576952571202</v>
      </c>
      <c r="AH4" s="7">
        <v>0.870206793484811</v>
      </c>
      <c r="AI4" s="7">
        <v>0.30740726943633001</v>
      </c>
      <c r="AJ4" s="7">
        <v>0.42167507762699102</v>
      </c>
      <c r="AK4" s="7">
        <v>1.0141809838267299</v>
      </c>
      <c r="AL4" s="7">
        <v>0.66417613240716</v>
      </c>
      <c r="AM4" s="7">
        <v>0.63992278628514898</v>
      </c>
      <c r="AN4" s="7">
        <v>1.99521254208754</v>
      </c>
      <c r="AO4" s="7">
        <v>1.16287357934614</v>
      </c>
      <c r="AP4" s="14">
        <v>0.48884576952571202</v>
      </c>
    </row>
    <row r="5" spans="1:42" x14ac:dyDescent="0.25">
      <c r="A5" s="8" t="s">
        <v>44</v>
      </c>
      <c r="B5" s="17" t="s">
        <v>96</v>
      </c>
      <c r="C5" s="9">
        <v>3627.85</v>
      </c>
      <c r="D5" s="9">
        <v>3538.61</v>
      </c>
      <c r="E5" s="9">
        <v>4585.22</v>
      </c>
      <c r="F5" s="9">
        <v>1475.45</v>
      </c>
      <c r="G5" s="9">
        <v>2028.42</v>
      </c>
      <c r="H5" s="9">
        <v>5328.44</v>
      </c>
      <c r="I5" s="9">
        <v>8139.54</v>
      </c>
      <c r="J5" s="9">
        <v>8178.22</v>
      </c>
      <c r="K5" s="9">
        <v>5299.74</v>
      </c>
      <c r="L5" s="9">
        <v>148.93</v>
      </c>
      <c r="M5" s="9">
        <v>153.47</v>
      </c>
      <c r="N5" s="9">
        <v>1315.09</v>
      </c>
      <c r="O5" s="9">
        <v>656.52</v>
      </c>
      <c r="P5" s="9">
        <v>2159.79</v>
      </c>
      <c r="Q5" s="9">
        <v>628.63</v>
      </c>
      <c r="R5" s="9">
        <v>476.1</v>
      </c>
      <c r="S5" s="9">
        <v>824.69</v>
      </c>
      <c r="T5" s="9">
        <v>1367.7</v>
      </c>
      <c r="U5" s="9">
        <v>1427.33</v>
      </c>
      <c r="V5" s="9">
        <v>1515.73</v>
      </c>
      <c r="W5" s="9">
        <v>2031.99</v>
      </c>
      <c r="X5" s="9">
        <v>1639.23</v>
      </c>
      <c r="Y5" s="9">
        <v>0.79120522025115403</v>
      </c>
      <c r="Z5" s="9">
        <v>0.32178390567955301</v>
      </c>
      <c r="AA5" s="9">
        <v>0.44238226301028</v>
      </c>
      <c r="AB5" s="9">
        <v>0.99461380816899503</v>
      </c>
      <c r="AC5" s="9">
        <v>0.651110505016254</v>
      </c>
      <c r="AD5" s="9">
        <v>0.64803098962854899</v>
      </c>
      <c r="AE5" s="9">
        <v>0.49922058566333799</v>
      </c>
      <c r="AF5" s="9">
        <v>0.30397399747197601</v>
      </c>
      <c r="AG5" s="9">
        <v>0.57730783688416198</v>
      </c>
      <c r="AH5" s="9">
        <v>0.79120522025115403</v>
      </c>
      <c r="AI5" s="9">
        <v>0.32178390567955301</v>
      </c>
      <c r="AJ5" s="9">
        <v>0.44238226301028</v>
      </c>
      <c r="AK5" s="9">
        <v>0.99461380816899503</v>
      </c>
      <c r="AL5" s="9">
        <v>0.651110505016254</v>
      </c>
      <c r="AM5" s="9">
        <v>0.64803098962854899</v>
      </c>
      <c r="AN5" s="9">
        <v>1.6423134538320501</v>
      </c>
      <c r="AO5" s="9">
        <v>0.95751843051239804</v>
      </c>
      <c r="AP5" s="15">
        <v>0.57730783688416198</v>
      </c>
    </row>
    <row r="6" spans="1:42" x14ac:dyDescent="0.25">
      <c r="A6" s="6" t="s">
        <v>45</v>
      </c>
      <c r="B6" s="18" t="s">
        <v>96</v>
      </c>
      <c r="C6" s="7"/>
      <c r="D6" s="7"/>
      <c r="E6" s="7"/>
      <c r="F6" s="7"/>
      <c r="G6" s="7"/>
      <c r="H6" s="7">
        <v>5326.82</v>
      </c>
      <c r="I6" s="7">
        <v>7841.55</v>
      </c>
      <c r="J6" s="7">
        <v>8184.22</v>
      </c>
      <c r="K6" s="7">
        <v>5172.7700000000004</v>
      </c>
      <c r="L6" s="7">
        <v>150.12</v>
      </c>
      <c r="M6" s="7">
        <v>154.02000000000001</v>
      </c>
      <c r="N6" s="7">
        <v>1053.53</v>
      </c>
      <c r="O6" s="7">
        <v>604.95000000000005</v>
      </c>
      <c r="P6" s="7">
        <v>2186.98</v>
      </c>
      <c r="Q6" s="7">
        <v>586.34</v>
      </c>
      <c r="R6" s="7">
        <v>444.66</v>
      </c>
      <c r="S6" s="7">
        <v>640.77</v>
      </c>
      <c r="T6" s="7">
        <v>1391.86</v>
      </c>
      <c r="U6" s="7">
        <v>1327.51</v>
      </c>
      <c r="V6" s="7">
        <v>1315.48</v>
      </c>
      <c r="W6" s="7">
        <v>1693.02</v>
      </c>
      <c r="X6" s="7">
        <v>1496.06</v>
      </c>
      <c r="Y6" s="7"/>
      <c r="Z6" s="7"/>
      <c r="AA6" s="7"/>
      <c r="AB6" s="7">
        <v>0.97108030682470903</v>
      </c>
      <c r="AC6" s="7">
        <v>0.65966167403128195</v>
      </c>
      <c r="AD6" s="7">
        <v>0.63204190503187796</v>
      </c>
      <c r="AE6" s="7">
        <v>0.574212409708314</v>
      </c>
      <c r="AF6" s="7">
        <v>0.27661432660563801</v>
      </c>
      <c r="AG6" s="7">
        <v>0.69394634580270598</v>
      </c>
      <c r="AH6" s="7"/>
      <c r="AI6" s="7"/>
      <c r="AJ6" s="7"/>
      <c r="AK6" s="7">
        <v>0.97108030682470903</v>
      </c>
      <c r="AL6" s="7">
        <v>0.65966167403128195</v>
      </c>
      <c r="AM6" s="7">
        <v>0.63204190503187796</v>
      </c>
      <c r="AN6" s="7">
        <v>2.0758592541266001</v>
      </c>
      <c r="AO6" s="7">
        <v>0.96923712703529197</v>
      </c>
      <c r="AP6" s="14">
        <v>0.69394634580270598</v>
      </c>
    </row>
    <row r="7" spans="1:42" x14ac:dyDescent="0.25">
      <c r="A7" s="8" t="s">
        <v>46</v>
      </c>
      <c r="B7" s="17" t="s">
        <v>96</v>
      </c>
      <c r="C7" s="9"/>
      <c r="D7" s="9"/>
      <c r="E7" s="9"/>
      <c r="F7" s="9"/>
      <c r="G7" s="9"/>
      <c r="H7" s="9">
        <v>5471.34</v>
      </c>
      <c r="I7" s="9">
        <v>8279.86</v>
      </c>
      <c r="J7" s="9">
        <v>8642.64</v>
      </c>
      <c r="K7" s="9">
        <v>5445.43</v>
      </c>
      <c r="L7" s="9">
        <v>149.76</v>
      </c>
      <c r="M7" s="9">
        <v>159.13999999999999</v>
      </c>
      <c r="N7" s="9">
        <v>1059.02</v>
      </c>
      <c r="O7" s="9">
        <v>696.11</v>
      </c>
      <c r="P7" s="9">
        <v>2163.88</v>
      </c>
      <c r="Q7" s="9">
        <v>701.49</v>
      </c>
      <c r="R7" s="9">
        <v>570.47</v>
      </c>
      <c r="S7" s="9">
        <v>844.6</v>
      </c>
      <c r="T7" s="9">
        <v>1425.64</v>
      </c>
      <c r="U7" s="9">
        <v>1404.68</v>
      </c>
      <c r="V7" s="9">
        <v>1523.77</v>
      </c>
      <c r="W7" s="9">
        <v>1931.74</v>
      </c>
      <c r="X7" s="9">
        <v>1703.91</v>
      </c>
      <c r="Y7" s="9"/>
      <c r="Z7" s="9"/>
      <c r="AA7" s="9"/>
      <c r="AB7" s="9"/>
      <c r="AC7" s="9">
        <v>0.65767174807303497</v>
      </c>
      <c r="AD7" s="9">
        <v>0.63006558181296402</v>
      </c>
      <c r="AE7" s="9">
        <v>0.65731525372514199</v>
      </c>
      <c r="AF7" s="9">
        <v>0.32169528809360898</v>
      </c>
      <c r="AG7" s="9">
        <v>0.67543215723419303</v>
      </c>
      <c r="AH7" s="9"/>
      <c r="AI7" s="9"/>
      <c r="AJ7" s="9"/>
      <c r="AK7" s="9">
        <v>0.99526441420200495</v>
      </c>
      <c r="AL7" s="9">
        <v>0.65767174807303497</v>
      </c>
      <c r="AM7" s="9">
        <v>0.63006558181296402</v>
      </c>
      <c r="AN7" s="9">
        <v>2.04328530150516</v>
      </c>
      <c r="AO7" s="9">
        <v>1.0077286635732801</v>
      </c>
      <c r="AP7" s="15">
        <v>0.67543215723419303</v>
      </c>
    </row>
    <row r="8" spans="1:42" x14ac:dyDescent="0.25">
      <c r="A8" s="6" t="s">
        <v>47</v>
      </c>
      <c r="B8" s="18" t="s">
        <v>96</v>
      </c>
      <c r="C8" s="7"/>
      <c r="D8" s="7"/>
      <c r="E8" s="7"/>
      <c r="F8" s="7"/>
      <c r="G8" s="7"/>
      <c r="H8" s="7">
        <v>5989.42</v>
      </c>
      <c r="I8" s="7">
        <v>8721.56</v>
      </c>
      <c r="J8" s="7">
        <v>9409.23</v>
      </c>
      <c r="K8" s="7">
        <v>5938.63</v>
      </c>
      <c r="L8" s="7">
        <v>158.79</v>
      </c>
      <c r="M8" s="7">
        <v>155.13</v>
      </c>
      <c r="N8" s="7">
        <v>1404.66</v>
      </c>
      <c r="O8" s="7">
        <v>795.06</v>
      </c>
      <c r="P8" s="7">
        <v>2514.31</v>
      </c>
      <c r="Q8" s="7">
        <v>1019.5</v>
      </c>
      <c r="R8" s="7">
        <v>496.13</v>
      </c>
      <c r="S8" s="7">
        <v>875.71</v>
      </c>
      <c r="T8" s="7">
        <v>1419.97</v>
      </c>
      <c r="U8" s="7">
        <v>1438.48</v>
      </c>
      <c r="V8" s="7">
        <v>1467.96</v>
      </c>
      <c r="W8" s="7">
        <v>1854.47</v>
      </c>
      <c r="X8" s="7">
        <v>1261.79</v>
      </c>
      <c r="Y8" s="7"/>
      <c r="Z8" s="7"/>
      <c r="AA8" s="7"/>
      <c r="AB8" s="7">
        <v>0.99152004701623797</v>
      </c>
      <c r="AC8" s="7">
        <v>0.68091373561610502</v>
      </c>
      <c r="AD8" s="7">
        <v>0.63114941392653801</v>
      </c>
      <c r="AE8" s="7">
        <v>0.56601597539618098</v>
      </c>
      <c r="AF8" s="7">
        <v>0.31621399111485798</v>
      </c>
      <c r="AG8" s="7">
        <v>0.56654600267211697</v>
      </c>
      <c r="AH8" s="7"/>
      <c r="AI8" s="7"/>
      <c r="AJ8" s="7"/>
      <c r="AK8" s="7">
        <v>0.99152004701623797</v>
      </c>
      <c r="AL8" s="7">
        <v>0.68091373561610502</v>
      </c>
      <c r="AM8" s="7">
        <v>0.63114941392653801</v>
      </c>
      <c r="AN8" s="7">
        <v>1.7899776458359999</v>
      </c>
      <c r="AO8" s="7">
        <v>1.2822931602646299</v>
      </c>
      <c r="AP8" s="14">
        <v>0.56654600267211697</v>
      </c>
    </row>
    <row r="9" spans="1:42" x14ac:dyDescent="0.25">
      <c r="A9" s="8" t="s">
        <v>48</v>
      </c>
      <c r="B9" s="17" t="s">
        <v>96</v>
      </c>
      <c r="C9" s="9">
        <v>4006.44</v>
      </c>
      <c r="D9" s="9">
        <v>3685.78</v>
      </c>
      <c r="E9" s="9">
        <v>4546.28</v>
      </c>
      <c r="F9" s="9">
        <v>2076.73</v>
      </c>
      <c r="G9" s="9">
        <v>1707.97</v>
      </c>
      <c r="H9" s="9">
        <v>5380.23</v>
      </c>
      <c r="I9" s="9">
        <v>8422.9500000000007</v>
      </c>
      <c r="J9" s="9">
        <v>8922.9699999999993</v>
      </c>
      <c r="K9" s="9">
        <v>5502.1</v>
      </c>
      <c r="L9" s="9">
        <v>149.16</v>
      </c>
      <c r="M9" s="9">
        <v>149.13</v>
      </c>
      <c r="N9" s="9">
        <v>1222.29</v>
      </c>
      <c r="O9" s="9">
        <v>648.82000000000005</v>
      </c>
      <c r="P9" s="9">
        <v>2384.42</v>
      </c>
      <c r="Q9" s="9">
        <v>703.02</v>
      </c>
      <c r="R9" s="9">
        <v>525.04</v>
      </c>
      <c r="S9" s="9">
        <v>916.28</v>
      </c>
      <c r="T9" s="9">
        <v>1412.53</v>
      </c>
      <c r="U9" s="9">
        <v>1553.82</v>
      </c>
      <c r="V9" s="9">
        <v>1594.47</v>
      </c>
      <c r="W9" s="9">
        <v>2283.17</v>
      </c>
      <c r="X9" s="9">
        <v>1428.48</v>
      </c>
      <c r="Y9" s="9">
        <v>0.88125676377169904</v>
      </c>
      <c r="Z9" s="9">
        <v>0.45679764554756802</v>
      </c>
      <c r="AA9" s="9">
        <v>0.375685175572116</v>
      </c>
      <c r="AB9" s="9">
        <v>1.0226514479864199</v>
      </c>
      <c r="AC9" s="9">
        <v>0.65322719474768298</v>
      </c>
      <c r="AD9" s="9">
        <v>0.616622044005527</v>
      </c>
      <c r="AE9" s="9">
        <v>0.53082329070842404</v>
      </c>
      <c r="AF9" s="9">
        <v>0.27210810176059502</v>
      </c>
      <c r="AG9" s="9">
        <v>0.57301261623084598</v>
      </c>
      <c r="AH9" s="9">
        <v>0.88125676377169904</v>
      </c>
      <c r="AI9" s="9">
        <v>0.45679764554756802</v>
      </c>
      <c r="AJ9" s="9">
        <v>0.375685175572116</v>
      </c>
      <c r="AK9" s="9">
        <v>1.0226514479864199</v>
      </c>
      <c r="AL9" s="9">
        <v>0.65322719474768298</v>
      </c>
      <c r="AM9" s="9">
        <v>0.616622044005527</v>
      </c>
      <c r="AN9" s="9">
        <v>1.95078091124037</v>
      </c>
      <c r="AO9" s="9">
        <v>1.08353626583644</v>
      </c>
      <c r="AP9" s="15">
        <v>0.57301261623084598</v>
      </c>
    </row>
    <row r="10" spans="1:42" x14ac:dyDescent="0.25">
      <c r="A10" s="6" t="s">
        <v>49</v>
      </c>
      <c r="B10" s="18" t="s">
        <v>96</v>
      </c>
      <c r="C10" s="7">
        <v>4172.6899999999996</v>
      </c>
      <c r="D10" s="7">
        <v>3806.58</v>
      </c>
      <c r="E10" s="7">
        <v>4804.8</v>
      </c>
      <c r="F10" s="7">
        <v>2101.69</v>
      </c>
      <c r="G10" s="7">
        <v>1587.15</v>
      </c>
      <c r="H10" s="7">
        <v>5606.02</v>
      </c>
      <c r="I10" s="7">
        <v>8648.11</v>
      </c>
      <c r="J10" s="7">
        <v>9122.2999999999993</v>
      </c>
      <c r="K10" s="7">
        <v>5654.68</v>
      </c>
      <c r="L10" s="7">
        <v>148.85</v>
      </c>
      <c r="M10" s="7">
        <v>148.77000000000001</v>
      </c>
      <c r="N10" s="7">
        <v>1403.18</v>
      </c>
      <c r="O10" s="7">
        <v>726.33</v>
      </c>
      <c r="P10" s="7">
        <v>2368.23</v>
      </c>
      <c r="Q10" s="7">
        <v>785.83</v>
      </c>
      <c r="R10" s="7">
        <v>576.48</v>
      </c>
      <c r="S10" s="7">
        <v>892.04</v>
      </c>
      <c r="T10" s="7">
        <v>1428.37</v>
      </c>
      <c r="U10" s="7">
        <v>1383.55</v>
      </c>
      <c r="V10" s="7">
        <v>1461.69</v>
      </c>
      <c r="W10" s="7">
        <v>2162.2600000000002</v>
      </c>
      <c r="X10" s="7">
        <v>1872.85</v>
      </c>
      <c r="Y10" s="7">
        <v>0.86844197469197404</v>
      </c>
      <c r="Z10" s="7">
        <v>0.43741466866466799</v>
      </c>
      <c r="AA10" s="7">
        <v>0.33032592407592398</v>
      </c>
      <c r="AB10" s="7">
        <v>1.0086799547629099</v>
      </c>
      <c r="AC10" s="7">
        <v>0.65386309841109702</v>
      </c>
      <c r="AD10" s="7">
        <v>0.61987437378731203</v>
      </c>
      <c r="AE10" s="7">
        <v>0.51763138015080001</v>
      </c>
      <c r="AF10" s="7">
        <v>0.30669740692415798</v>
      </c>
      <c r="AG10" s="7">
        <v>0.64624904712793096</v>
      </c>
      <c r="AH10" s="7">
        <v>0.86844197469197404</v>
      </c>
      <c r="AI10" s="7">
        <v>0.43741466866466799</v>
      </c>
      <c r="AJ10" s="7">
        <v>0.33032592407592398</v>
      </c>
      <c r="AK10" s="7">
        <v>1.0086799547629099</v>
      </c>
      <c r="AL10" s="7">
        <v>0.65386309841109702</v>
      </c>
      <c r="AM10" s="7">
        <v>0.61987437378731203</v>
      </c>
      <c r="AN10" s="7">
        <v>1.68775923260023</v>
      </c>
      <c r="AO10" s="7">
        <v>1.0819186870981501</v>
      </c>
      <c r="AP10" s="14">
        <v>0.64624904712793096</v>
      </c>
    </row>
    <row r="11" spans="1:42" x14ac:dyDescent="0.25">
      <c r="A11" s="8" t="s">
        <v>50</v>
      </c>
      <c r="B11" s="17" t="s">
        <v>96</v>
      </c>
      <c r="C11" s="9"/>
      <c r="D11" s="9"/>
      <c r="E11" s="9"/>
      <c r="F11" s="9"/>
      <c r="G11" s="9"/>
      <c r="H11" s="9">
        <v>5623.08</v>
      </c>
      <c r="I11" s="9">
        <v>8291.0499999999993</v>
      </c>
      <c r="J11" s="9">
        <v>9072.48</v>
      </c>
      <c r="K11" s="9">
        <v>5807.61</v>
      </c>
      <c r="L11" s="9">
        <v>156.19999999999999</v>
      </c>
      <c r="M11" s="9">
        <v>147.91999999999999</v>
      </c>
      <c r="N11" s="9">
        <v>1363.83</v>
      </c>
      <c r="O11" s="9">
        <v>665.33</v>
      </c>
      <c r="P11" s="9">
        <v>2443.2399999999998</v>
      </c>
      <c r="Q11" s="9">
        <v>701.43</v>
      </c>
      <c r="R11" s="9">
        <v>529.20000000000005</v>
      </c>
      <c r="S11" s="9">
        <v>879.83</v>
      </c>
      <c r="T11" s="9"/>
      <c r="U11" s="9"/>
      <c r="V11" s="9"/>
      <c r="W11" s="9"/>
      <c r="X11" s="9"/>
      <c r="Y11" s="9"/>
      <c r="Z11" s="9"/>
      <c r="AA11" s="9"/>
      <c r="AB11" s="9">
        <v>1.03281653471051</v>
      </c>
      <c r="AC11" s="9">
        <v>0.70046737144269999</v>
      </c>
      <c r="AD11" s="9">
        <v>0.64013478122850598</v>
      </c>
      <c r="AE11" s="9">
        <v>0.48783939347279298</v>
      </c>
      <c r="AF11" s="9">
        <v>0.27231463139110301</v>
      </c>
      <c r="AG11" s="9">
        <v>0.60147983133105198</v>
      </c>
      <c r="AH11" s="9"/>
      <c r="AI11" s="9"/>
      <c r="AJ11" s="9"/>
      <c r="AK11" s="9">
        <v>1.03281653471051</v>
      </c>
      <c r="AL11" s="9">
        <v>0.70046737144269999</v>
      </c>
      <c r="AM11" s="9">
        <v>0.64013478122850598</v>
      </c>
      <c r="AN11" s="9">
        <v>1.79145494673089</v>
      </c>
      <c r="AO11" s="9">
        <v>1.0542587888716799</v>
      </c>
      <c r="AP11" s="15">
        <v>0.60147983133105198</v>
      </c>
    </row>
    <row r="12" spans="1:42" x14ac:dyDescent="0.25">
      <c r="A12" s="6" t="s">
        <v>51</v>
      </c>
      <c r="B12" s="18" t="s">
        <v>96</v>
      </c>
      <c r="C12" s="7"/>
      <c r="D12" s="7"/>
      <c r="E12" s="7"/>
      <c r="F12" s="7"/>
      <c r="G12" s="7"/>
      <c r="H12" s="7">
        <v>5434.79</v>
      </c>
      <c r="I12" s="7">
        <v>8023.6</v>
      </c>
      <c r="J12" s="7">
        <v>8608.36</v>
      </c>
      <c r="K12" s="7">
        <v>5457.58</v>
      </c>
      <c r="L12" s="7">
        <v>152.63</v>
      </c>
      <c r="M12" s="7">
        <v>146.13999999999999</v>
      </c>
      <c r="N12" s="7">
        <v>1283.76</v>
      </c>
      <c r="O12" s="7">
        <v>685.75</v>
      </c>
      <c r="P12" s="7">
        <v>2081.86</v>
      </c>
      <c r="Q12" s="7">
        <v>768.23</v>
      </c>
      <c r="R12" s="7">
        <v>413.13</v>
      </c>
      <c r="S12" s="7">
        <v>822.51</v>
      </c>
      <c r="T12" s="7">
        <v>1461.45</v>
      </c>
      <c r="U12" s="7">
        <v>1400.71</v>
      </c>
      <c r="V12" s="7">
        <v>1444.82</v>
      </c>
      <c r="W12" s="7">
        <v>1871.58</v>
      </c>
      <c r="X12" s="7">
        <v>1737.64</v>
      </c>
      <c r="Y12" s="7"/>
      <c r="Z12" s="7"/>
      <c r="AA12" s="7"/>
      <c r="AB12" s="7">
        <v>1.00419335429703</v>
      </c>
      <c r="AC12" s="7">
        <v>0.68019093673662601</v>
      </c>
      <c r="AD12" s="7">
        <v>0.63398603218266802</v>
      </c>
      <c r="AE12" s="7">
        <v>0.53417305415342398</v>
      </c>
      <c r="AF12" s="7">
        <v>0.3293929466919</v>
      </c>
      <c r="AG12" s="7">
        <v>0.50227960754276502</v>
      </c>
      <c r="AH12" s="7"/>
      <c r="AI12" s="7"/>
      <c r="AJ12" s="7"/>
      <c r="AK12" s="7">
        <v>1.00419335429703</v>
      </c>
      <c r="AL12" s="7">
        <v>0.68019093673662601</v>
      </c>
      <c r="AM12" s="7">
        <v>0.63398603218266802</v>
      </c>
      <c r="AN12" s="7">
        <v>1.62168941235121</v>
      </c>
      <c r="AO12" s="7">
        <v>1.12027706890266</v>
      </c>
      <c r="AP12" s="14">
        <v>0.50227960754276502</v>
      </c>
    </row>
    <row r="14" spans="1:42" x14ac:dyDescent="0.25">
      <c r="A14" s="8" t="s">
        <v>56</v>
      </c>
      <c r="B14" s="19" t="s">
        <v>98</v>
      </c>
      <c r="C14" s="9">
        <v>3908.96</v>
      </c>
      <c r="D14" s="9">
        <v>3849.1</v>
      </c>
      <c r="E14" s="9">
        <v>4976.72</v>
      </c>
      <c r="F14" s="9">
        <v>2090.46</v>
      </c>
      <c r="G14" s="9">
        <v>1635.22</v>
      </c>
      <c r="H14" s="9">
        <v>5832.83</v>
      </c>
      <c r="I14" s="9">
        <v>9158.4500000000007</v>
      </c>
      <c r="J14" s="9">
        <v>9559.65</v>
      </c>
      <c r="K14" s="9">
        <v>5864.23</v>
      </c>
      <c r="L14" s="9">
        <v>148.16</v>
      </c>
      <c r="M14" s="9">
        <v>152.72</v>
      </c>
      <c r="N14" s="9">
        <v>1333.44</v>
      </c>
      <c r="O14" s="9">
        <v>806.87</v>
      </c>
      <c r="P14" s="9">
        <v>2441.1999999999998</v>
      </c>
      <c r="Q14" s="9">
        <v>941.34</v>
      </c>
      <c r="R14" s="9">
        <v>650.72</v>
      </c>
      <c r="S14" s="9">
        <v>1041.26</v>
      </c>
      <c r="T14" s="9">
        <v>1563.78</v>
      </c>
      <c r="U14" s="9">
        <v>1617.01</v>
      </c>
      <c r="V14" s="9">
        <v>1704.72</v>
      </c>
      <c r="W14" s="9">
        <v>2465.4699999999998</v>
      </c>
      <c r="X14" s="9">
        <v>1863.38</v>
      </c>
      <c r="Y14" s="9">
        <v>0.78544905078043303</v>
      </c>
      <c r="Z14" s="9">
        <v>0.420047742288093</v>
      </c>
      <c r="AA14" s="9">
        <v>0.32857383979809901</v>
      </c>
      <c r="AB14" s="9">
        <v>1.0053833216466099</v>
      </c>
      <c r="AC14" s="9">
        <v>0.64030813074264703</v>
      </c>
      <c r="AD14" s="9">
        <v>0.61343563833403902</v>
      </c>
      <c r="AE14" s="9">
        <v>0.60510409167266599</v>
      </c>
      <c r="AF14" s="9">
        <v>0.330521874487956</v>
      </c>
      <c r="AG14" s="9">
        <v>0.62493517469219895</v>
      </c>
      <c r="AH14" s="9">
        <v>0.78544905078043303</v>
      </c>
      <c r="AI14" s="9">
        <v>0.420047742288093</v>
      </c>
      <c r="AJ14" s="9">
        <v>0.32857383979809901</v>
      </c>
      <c r="AK14" s="9">
        <v>1.0053833216466099</v>
      </c>
      <c r="AL14" s="9">
        <v>0.64030813074264703</v>
      </c>
      <c r="AM14" s="9">
        <v>0.61343563833403902</v>
      </c>
      <c r="AN14" s="9">
        <v>1.83075353971682</v>
      </c>
      <c r="AO14" s="9">
        <v>1.1666563386914801</v>
      </c>
      <c r="AP14" s="15">
        <v>0.62493517469219895</v>
      </c>
    </row>
    <row r="15" spans="1:42" x14ac:dyDescent="0.25">
      <c r="A15" s="6" t="s">
        <v>57</v>
      </c>
      <c r="B15" s="20" t="s">
        <v>98</v>
      </c>
      <c r="C15" s="7">
        <v>4437.51</v>
      </c>
      <c r="D15" s="7">
        <v>3793.03</v>
      </c>
      <c r="E15" s="7">
        <v>4865.54</v>
      </c>
      <c r="F15" s="7">
        <v>2032.75</v>
      </c>
      <c r="G15" s="7">
        <v>1517.12</v>
      </c>
      <c r="H15" s="7">
        <v>5707.65</v>
      </c>
      <c r="I15" s="7">
        <v>8711.56</v>
      </c>
      <c r="J15" s="7">
        <v>9021.34</v>
      </c>
      <c r="K15" s="7">
        <v>5774.05</v>
      </c>
      <c r="L15" s="7">
        <v>146.69</v>
      </c>
      <c r="M15" s="7">
        <v>141.33000000000001</v>
      </c>
      <c r="N15" s="7">
        <v>1470.63</v>
      </c>
      <c r="O15" s="7">
        <v>692.9</v>
      </c>
      <c r="P15" s="7">
        <v>2365.63</v>
      </c>
      <c r="Q15" s="7">
        <v>1041.68</v>
      </c>
      <c r="R15" s="7">
        <v>497.15</v>
      </c>
      <c r="S15" s="7">
        <v>855.88</v>
      </c>
      <c r="T15" s="7">
        <v>1620.87</v>
      </c>
      <c r="U15" s="7">
        <v>1585.37</v>
      </c>
      <c r="V15" s="7">
        <v>1633.34</v>
      </c>
      <c r="W15" s="7">
        <v>2453.27</v>
      </c>
      <c r="X15" s="7">
        <v>1753.15</v>
      </c>
      <c r="Y15" s="7">
        <v>0.91202826407757398</v>
      </c>
      <c r="Z15" s="7">
        <v>0.41778507627108102</v>
      </c>
      <c r="AA15" s="7">
        <v>0.31180917226042698</v>
      </c>
      <c r="AB15" s="7">
        <v>1.0116335094127999</v>
      </c>
      <c r="AC15" s="7">
        <v>0.66280321779336804</v>
      </c>
      <c r="AD15" s="7">
        <v>0.640043496864102</v>
      </c>
      <c r="AE15" s="7">
        <v>0.471158619095217</v>
      </c>
      <c r="AF15" s="7">
        <v>0.29290294762917202</v>
      </c>
      <c r="AG15" s="7">
        <v>0.58086413983268603</v>
      </c>
      <c r="AH15" s="7">
        <v>0.91202826407757398</v>
      </c>
      <c r="AI15" s="7">
        <v>0.41778507627108102</v>
      </c>
      <c r="AJ15" s="7">
        <v>0.31180917226042698</v>
      </c>
      <c r="AK15" s="7">
        <v>1.0116335094127999</v>
      </c>
      <c r="AL15" s="7">
        <v>0.66280321779336804</v>
      </c>
      <c r="AM15" s="7">
        <v>0.640043496864102</v>
      </c>
      <c r="AN15" s="7">
        <v>1.6085827162508499</v>
      </c>
      <c r="AO15" s="7">
        <v>1.5033626785972001</v>
      </c>
      <c r="AP15" s="14">
        <v>0.58086413983268603</v>
      </c>
    </row>
    <row r="16" spans="1:42" x14ac:dyDescent="0.25">
      <c r="A16" s="8" t="s">
        <v>58</v>
      </c>
      <c r="B16" s="19" t="s">
        <v>98</v>
      </c>
      <c r="C16" s="9">
        <v>4296.25</v>
      </c>
      <c r="D16" s="9">
        <v>3668.76</v>
      </c>
      <c r="E16" s="9">
        <v>4705.0200000000004</v>
      </c>
      <c r="F16" s="9">
        <v>2029.81</v>
      </c>
      <c r="G16" s="9">
        <v>1495.22</v>
      </c>
      <c r="H16" s="9">
        <v>5631.26</v>
      </c>
      <c r="I16" s="9">
        <v>8436.1</v>
      </c>
      <c r="J16" s="9">
        <v>8695.4599999999991</v>
      </c>
      <c r="K16" s="9">
        <v>5468.85</v>
      </c>
      <c r="L16" s="9">
        <v>152.46</v>
      </c>
      <c r="M16" s="9">
        <v>144.25</v>
      </c>
      <c r="N16" s="9">
        <v>1270.08</v>
      </c>
      <c r="O16" s="9">
        <v>679.9</v>
      </c>
      <c r="P16" s="9">
        <v>2399.0500000000002</v>
      </c>
      <c r="Q16" s="9">
        <v>1032.32</v>
      </c>
      <c r="R16" s="9">
        <v>578.13</v>
      </c>
      <c r="S16" s="9">
        <v>871.14</v>
      </c>
      <c r="T16" s="9">
        <v>1587.7</v>
      </c>
      <c r="U16" s="9">
        <v>1515.81</v>
      </c>
      <c r="V16" s="9">
        <v>1585.55</v>
      </c>
      <c r="W16" s="9">
        <v>2092.61</v>
      </c>
      <c r="X16" s="9">
        <v>1902.97</v>
      </c>
      <c r="Y16" s="9">
        <v>0.91312045432325395</v>
      </c>
      <c r="Z16" s="9">
        <v>0.43141368155714499</v>
      </c>
      <c r="AA16" s="9">
        <v>0.31779248547296202</v>
      </c>
      <c r="AB16" s="9">
        <v>0.97115920770839903</v>
      </c>
      <c r="AC16" s="9">
        <v>0.64826756439586997</v>
      </c>
      <c r="AD16" s="9">
        <v>0.62893164938945101</v>
      </c>
      <c r="AE16" s="9">
        <v>0.53532060972537099</v>
      </c>
      <c r="AF16" s="9">
        <v>0.28340384735624502</v>
      </c>
      <c r="AG16" s="9">
        <v>0.66364763413458205</v>
      </c>
      <c r="AH16" s="9">
        <v>0.91312045432325395</v>
      </c>
      <c r="AI16" s="9">
        <v>0.43141368155714499</v>
      </c>
      <c r="AJ16" s="9">
        <v>0.31779248547296202</v>
      </c>
      <c r="AK16" s="9">
        <v>0.97115920770839903</v>
      </c>
      <c r="AL16" s="9">
        <v>0.64826756439586997</v>
      </c>
      <c r="AM16" s="9">
        <v>0.62893164938945101</v>
      </c>
      <c r="AN16" s="9">
        <v>1.8888967624086599</v>
      </c>
      <c r="AO16" s="9">
        <v>1.5183409324900701</v>
      </c>
      <c r="AP16" s="15">
        <v>0.66364763413458205</v>
      </c>
    </row>
    <row r="17" spans="1:42" x14ac:dyDescent="0.25">
      <c r="A17" s="6" t="s">
        <v>61</v>
      </c>
      <c r="B17" s="20" t="s">
        <v>98</v>
      </c>
      <c r="C17" s="7">
        <v>4088.09</v>
      </c>
      <c r="D17" s="7">
        <v>3757.84</v>
      </c>
      <c r="E17" s="7">
        <v>4858.87</v>
      </c>
      <c r="F17" s="7">
        <v>2097.7800000000002</v>
      </c>
      <c r="G17" s="7">
        <v>1508.74</v>
      </c>
      <c r="H17" s="7">
        <v>5865.71</v>
      </c>
      <c r="I17" s="7">
        <v>8650.4</v>
      </c>
      <c r="J17" s="7">
        <v>9249.7099999999991</v>
      </c>
      <c r="K17" s="7">
        <v>5807.39</v>
      </c>
      <c r="L17" s="7">
        <v>153.34</v>
      </c>
      <c r="M17" s="7">
        <v>149.01</v>
      </c>
      <c r="N17" s="7">
        <v>1223.99</v>
      </c>
      <c r="O17" s="7">
        <v>700.84</v>
      </c>
      <c r="P17" s="7">
        <v>2603.1</v>
      </c>
      <c r="Q17" s="7">
        <v>988.48</v>
      </c>
      <c r="R17" s="7">
        <v>470.67</v>
      </c>
      <c r="S17" s="7">
        <v>909.96</v>
      </c>
      <c r="T17" s="7">
        <v>1502.43</v>
      </c>
      <c r="U17" s="7">
        <v>1515.71</v>
      </c>
      <c r="V17" s="7">
        <v>1548.88</v>
      </c>
      <c r="W17" s="7">
        <v>2309.4699999999998</v>
      </c>
      <c r="X17" s="7">
        <v>1932.3</v>
      </c>
      <c r="Y17" s="7">
        <v>0.84136640823895203</v>
      </c>
      <c r="Z17" s="7">
        <v>0.43174235984909998</v>
      </c>
      <c r="AA17" s="7">
        <v>0.31051252657510903</v>
      </c>
      <c r="AB17" s="7">
        <v>0.99005746959873497</v>
      </c>
      <c r="AC17" s="7">
        <v>0.67134352168685796</v>
      </c>
      <c r="AD17" s="7">
        <v>0.62784562975487801</v>
      </c>
      <c r="AE17" s="7">
        <v>0.57258637733968398</v>
      </c>
      <c r="AF17" s="7">
        <v>0.26923283777035001</v>
      </c>
      <c r="AG17" s="7">
        <v>0.51724251615455596</v>
      </c>
      <c r="AH17" s="7">
        <v>0.84136640823895203</v>
      </c>
      <c r="AI17" s="7">
        <v>0.43174235984909998</v>
      </c>
      <c r="AJ17" s="7">
        <v>0.31051252657510903</v>
      </c>
      <c r="AK17" s="7">
        <v>0.99005746959873497</v>
      </c>
      <c r="AL17" s="7">
        <v>0.67134352168685796</v>
      </c>
      <c r="AM17" s="7">
        <v>0.62784562975487801</v>
      </c>
      <c r="AN17" s="7">
        <v>2.1267330615446198</v>
      </c>
      <c r="AO17" s="7">
        <v>1.4104217795787899</v>
      </c>
      <c r="AP17" s="14">
        <v>0.51724251615455596</v>
      </c>
    </row>
    <row r="18" spans="1:42" x14ac:dyDescent="0.25">
      <c r="A18" s="8" t="s">
        <v>62</v>
      </c>
      <c r="B18" s="19" t="s">
        <v>98</v>
      </c>
      <c r="C18" s="9">
        <v>4275.07</v>
      </c>
      <c r="D18" s="9">
        <v>3536.45</v>
      </c>
      <c r="E18" s="9">
        <v>4624.2299999999996</v>
      </c>
      <c r="F18" s="9">
        <v>1982.69</v>
      </c>
      <c r="G18" s="9">
        <v>1475.26</v>
      </c>
      <c r="H18" s="9">
        <v>5287.93</v>
      </c>
      <c r="I18" s="9">
        <v>7857.52</v>
      </c>
      <c r="J18" s="9">
        <v>7956.65</v>
      </c>
      <c r="K18" s="9">
        <v>4937.28</v>
      </c>
      <c r="L18" s="9">
        <v>147.75</v>
      </c>
      <c r="M18" s="9">
        <v>147.41999999999999</v>
      </c>
      <c r="N18" s="9">
        <v>1132.6099999999999</v>
      </c>
      <c r="O18" s="9">
        <v>640.13</v>
      </c>
      <c r="P18" s="9">
        <v>1955.61</v>
      </c>
      <c r="Q18" s="9">
        <v>732.47</v>
      </c>
      <c r="R18" s="9">
        <v>434.13</v>
      </c>
      <c r="S18" s="9">
        <v>723.26</v>
      </c>
      <c r="T18" s="9">
        <v>1355.47</v>
      </c>
      <c r="U18" s="9">
        <v>1467.79</v>
      </c>
      <c r="V18" s="9">
        <v>1553.89</v>
      </c>
      <c r="W18" s="9">
        <v>2244.73</v>
      </c>
      <c r="X18" s="9">
        <v>1677.49</v>
      </c>
      <c r="Y18" s="9">
        <v>0.92449337511326202</v>
      </c>
      <c r="Z18" s="9">
        <v>0.42876111266091799</v>
      </c>
      <c r="AA18" s="9">
        <v>0.31902824902740501</v>
      </c>
      <c r="AB18" s="9">
        <v>0.93368860782952801</v>
      </c>
      <c r="AC18" s="9">
        <v>0.62835093006444698</v>
      </c>
      <c r="AD18" s="9">
        <v>0.62052245605876799</v>
      </c>
      <c r="AE18" s="9">
        <v>0.565181306892928</v>
      </c>
      <c r="AF18" s="9">
        <v>0.32733009137813701</v>
      </c>
      <c r="AG18" s="9">
        <v>0.600240577385725</v>
      </c>
      <c r="AH18" s="9">
        <v>0.92449337511326202</v>
      </c>
      <c r="AI18" s="9">
        <v>0.42876111266091799</v>
      </c>
      <c r="AJ18" s="9">
        <v>0.31902824902740501</v>
      </c>
      <c r="AK18" s="9">
        <v>0.93368860782952801</v>
      </c>
      <c r="AL18" s="9">
        <v>0.62835093006444698</v>
      </c>
      <c r="AM18" s="9">
        <v>0.62052245605876799</v>
      </c>
      <c r="AN18" s="9">
        <v>1.72664023803427</v>
      </c>
      <c r="AO18" s="9">
        <v>1.1442519488228899</v>
      </c>
      <c r="AP18" s="15">
        <v>0.600240577385725</v>
      </c>
    </row>
    <row r="19" spans="1:42" x14ac:dyDescent="0.25">
      <c r="A19" s="6" t="s">
        <v>63</v>
      </c>
      <c r="B19" s="20" t="s">
        <v>98</v>
      </c>
      <c r="C19" s="7">
        <v>3492.88</v>
      </c>
      <c r="D19" s="7">
        <v>3654.27</v>
      </c>
      <c r="E19" s="7">
        <v>4788.63</v>
      </c>
      <c r="F19" s="7">
        <v>1856.41</v>
      </c>
      <c r="G19" s="7">
        <v>1392.69</v>
      </c>
      <c r="H19" s="7">
        <v>5566.18</v>
      </c>
      <c r="I19" s="7">
        <v>8546.4500000000007</v>
      </c>
      <c r="J19" s="7">
        <v>8616.36</v>
      </c>
      <c r="K19" s="7">
        <v>5517.99</v>
      </c>
      <c r="L19" s="7">
        <v>142.62</v>
      </c>
      <c r="M19" s="7">
        <v>152.53</v>
      </c>
      <c r="N19" s="7">
        <v>1127.0999999999999</v>
      </c>
      <c r="O19" s="7">
        <v>613.58000000000004</v>
      </c>
      <c r="P19" s="7">
        <v>1953.7</v>
      </c>
      <c r="Q19" s="7">
        <v>700.5</v>
      </c>
      <c r="R19" s="7">
        <v>455.97</v>
      </c>
      <c r="S19" s="7">
        <v>751.04</v>
      </c>
      <c r="T19" s="7">
        <v>1425.93</v>
      </c>
      <c r="U19" s="7">
        <v>1391.44</v>
      </c>
      <c r="V19" s="7">
        <v>1417.73</v>
      </c>
      <c r="W19" s="7">
        <v>2060.92</v>
      </c>
      <c r="X19" s="7">
        <v>1639.36</v>
      </c>
      <c r="Y19" s="7">
        <v>0.72941112593789803</v>
      </c>
      <c r="Z19" s="7">
        <v>0.38767037754013101</v>
      </c>
      <c r="AA19" s="7">
        <v>0.29083265986305001</v>
      </c>
      <c r="AB19" s="7">
        <v>0.99134235687670802</v>
      </c>
      <c r="AC19" s="7">
        <v>0.64564702303295496</v>
      </c>
      <c r="AD19" s="7">
        <v>0.64040847875436901</v>
      </c>
      <c r="AE19" s="7">
        <v>0.54438825303877203</v>
      </c>
      <c r="AF19" s="7">
        <v>0.314060500588626</v>
      </c>
      <c r="AG19" s="7">
        <v>0.60711812952705502</v>
      </c>
      <c r="AH19" s="7">
        <v>0.72941112593789803</v>
      </c>
      <c r="AI19" s="7">
        <v>0.38767037754013101</v>
      </c>
      <c r="AJ19" s="7">
        <v>0.29083265986305001</v>
      </c>
      <c r="AK19" s="7">
        <v>0.99134235687670802</v>
      </c>
      <c r="AL19" s="7">
        <v>0.64564702303295496</v>
      </c>
      <c r="AM19" s="7">
        <v>0.64040847875436901</v>
      </c>
      <c r="AN19" s="7">
        <v>1.7333865672966</v>
      </c>
      <c r="AO19" s="7">
        <v>1.1416604191792401</v>
      </c>
      <c r="AP19" s="14">
        <v>0.60711812952705502</v>
      </c>
    </row>
    <row r="20" spans="1:42" x14ac:dyDescent="0.25">
      <c r="A20" s="8" t="s">
        <v>64</v>
      </c>
      <c r="B20" s="19" t="s">
        <v>98</v>
      </c>
      <c r="C20" s="9">
        <v>4363.8599999999997</v>
      </c>
      <c r="D20" s="9">
        <v>3850.47</v>
      </c>
      <c r="E20" s="9">
        <v>4953.46</v>
      </c>
      <c r="F20" s="9">
        <v>2229.41</v>
      </c>
      <c r="G20" s="9">
        <v>1653.33</v>
      </c>
      <c r="H20" s="9">
        <v>5961.04</v>
      </c>
      <c r="I20" s="9">
        <v>8936.57</v>
      </c>
      <c r="J20" s="9">
        <v>9479.1200000000008</v>
      </c>
      <c r="K20" s="9">
        <v>6014.86</v>
      </c>
      <c r="L20" s="9">
        <v>157.32</v>
      </c>
      <c r="M20" s="9">
        <v>153.80000000000001</v>
      </c>
      <c r="N20" s="9">
        <v>1596.74</v>
      </c>
      <c r="O20" s="9">
        <v>884.71</v>
      </c>
      <c r="P20" s="9">
        <v>2438.29</v>
      </c>
      <c r="Q20" s="9">
        <v>985.67</v>
      </c>
      <c r="R20" s="9">
        <v>682.18</v>
      </c>
      <c r="S20" s="9">
        <v>815.88</v>
      </c>
      <c r="T20" s="9">
        <v>1547.39</v>
      </c>
      <c r="U20" s="9">
        <v>1654.44</v>
      </c>
      <c r="V20" s="9">
        <v>1568.18</v>
      </c>
      <c r="W20" s="9">
        <v>2594.0100000000002</v>
      </c>
      <c r="X20" s="9">
        <v>2113.66</v>
      </c>
      <c r="Y20" s="9">
        <v>0.88097208819693695</v>
      </c>
      <c r="Z20" s="9">
        <v>0.45007126331897201</v>
      </c>
      <c r="AA20" s="9">
        <v>0.33377275682048502</v>
      </c>
      <c r="AB20" s="9">
        <v>1.00902862587736</v>
      </c>
      <c r="AC20" s="9">
        <v>0.67306136470704003</v>
      </c>
      <c r="AD20" s="9">
        <v>0.63453780519710601</v>
      </c>
      <c r="AE20" s="9">
        <v>0.55407267307138297</v>
      </c>
      <c r="AF20" s="9">
        <v>0.362840351229755</v>
      </c>
      <c r="AG20" s="9">
        <v>0.83612786194048105</v>
      </c>
      <c r="AH20" s="9">
        <v>0.88097208819693695</v>
      </c>
      <c r="AI20" s="9">
        <v>0.45007126331897201</v>
      </c>
      <c r="AJ20" s="9">
        <v>0.33377275682048502</v>
      </c>
      <c r="AK20" s="9">
        <v>1.00902862587736</v>
      </c>
      <c r="AL20" s="9">
        <v>0.67306136470704003</v>
      </c>
      <c r="AM20" s="9">
        <v>0.63453780519710601</v>
      </c>
      <c r="AN20" s="9">
        <v>1.5270425992960599</v>
      </c>
      <c r="AO20" s="9">
        <v>1.1141164901493099</v>
      </c>
      <c r="AP20" s="15">
        <v>0.83612786194048105</v>
      </c>
    </row>
    <row r="21" spans="1:42" x14ac:dyDescent="0.25">
      <c r="A21" s="6" t="s">
        <v>65</v>
      </c>
      <c r="B21" s="20" t="s">
        <v>98</v>
      </c>
      <c r="C21" s="7">
        <v>4522.92</v>
      </c>
      <c r="D21" s="7">
        <v>3685.04</v>
      </c>
      <c r="E21" s="7">
        <v>4728.88</v>
      </c>
      <c r="F21" s="7">
        <v>1986.53</v>
      </c>
      <c r="G21" s="7">
        <v>1531.2</v>
      </c>
      <c r="H21" s="7">
        <v>5448.04</v>
      </c>
      <c r="I21" s="7">
        <v>8252.06</v>
      </c>
      <c r="J21" s="7">
        <v>8421.82</v>
      </c>
      <c r="K21" s="7">
        <v>5323.8</v>
      </c>
      <c r="L21" s="7">
        <v>149.66999999999999</v>
      </c>
      <c r="M21" s="7">
        <v>149.47999999999999</v>
      </c>
      <c r="N21" s="7">
        <v>1135.43</v>
      </c>
      <c r="O21" s="7">
        <v>739.42</v>
      </c>
      <c r="P21" s="7">
        <v>2126.39</v>
      </c>
      <c r="Q21" s="7">
        <v>1085.8399999999999</v>
      </c>
      <c r="R21" s="7">
        <v>492.54</v>
      </c>
      <c r="S21" s="7">
        <v>799.5</v>
      </c>
      <c r="T21" s="7">
        <v>1422.81</v>
      </c>
      <c r="U21" s="7">
        <v>1385.54</v>
      </c>
      <c r="V21" s="7">
        <v>1469.74</v>
      </c>
      <c r="W21" s="7">
        <v>2088.2600000000002</v>
      </c>
      <c r="X21" s="7">
        <v>1856.17</v>
      </c>
      <c r="Y21" s="7">
        <v>0.95644634670365902</v>
      </c>
      <c r="Z21" s="7">
        <v>0.420084671211788</v>
      </c>
      <c r="AA21" s="7">
        <v>0.32379760112331002</v>
      </c>
      <c r="AB21" s="7">
        <v>0.97719546846205196</v>
      </c>
      <c r="AC21" s="7">
        <v>0.64514799940863199</v>
      </c>
      <c r="AD21" s="7">
        <v>0.63214364591026595</v>
      </c>
      <c r="AE21" s="7">
        <v>0.65122464616929199</v>
      </c>
      <c r="AF21" s="7">
        <v>0.34773489341089803</v>
      </c>
      <c r="AG21" s="7">
        <v>0.61606003752345195</v>
      </c>
      <c r="AH21" s="7">
        <v>0.95644634670365902</v>
      </c>
      <c r="AI21" s="7">
        <v>0.420084671211788</v>
      </c>
      <c r="AJ21" s="7">
        <v>0.32379760112331002</v>
      </c>
      <c r="AK21" s="7">
        <v>0.97719546846205196</v>
      </c>
      <c r="AL21" s="7">
        <v>0.64514799940863199</v>
      </c>
      <c r="AM21" s="7">
        <v>0.63214364591026595</v>
      </c>
      <c r="AN21" s="7">
        <v>1.87276186114511</v>
      </c>
      <c r="AO21" s="7">
        <v>1.4685023396716299</v>
      </c>
      <c r="AP21" s="14">
        <v>0.61606003752345195</v>
      </c>
    </row>
    <row r="22" spans="1:42" x14ac:dyDescent="0.25">
      <c r="A22" s="8" t="s">
        <v>66</v>
      </c>
      <c r="B22" s="19" t="s">
        <v>98</v>
      </c>
      <c r="C22" s="9">
        <v>4237.33</v>
      </c>
      <c r="D22" s="9">
        <v>3729.27</v>
      </c>
      <c r="E22" s="9">
        <v>4858.17</v>
      </c>
      <c r="F22" s="9">
        <v>1958.46</v>
      </c>
      <c r="G22" s="9">
        <v>1444.04</v>
      </c>
      <c r="H22" s="9">
        <v>5765.59</v>
      </c>
      <c r="I22" s="9">
        <v>8652.4699999999993</v>
      </c>
      <c r="J22" s="9">
        <v>8898.34</v>
      </c>
      <c r="K22" s="9">
        <v>5537.96</v>
      </c>
      <c r="L22" s="9">
        <v>144.69</v>
      </c>
      <c r="M22" s="9">
        <v>142.19</v>
      </c>
      <c r="N22" s="9">
        <v>1133.8</v>
      </c>
      <c r="O22" s="9">
        <v>575.19000000000005</v>
      </c>
      <c r="P22" s="9">
        <v>2238.41</v>
      </c>
      <c r="Q22" s="9">
        <v>619.83000000000004</v>
      </c>
      <c r="R22" s="9">
        <v>397.86</v>
      </c>
      <c r="S22" s="9">
        <v>813.17</v>
      </c>
      <c r="T22" s="9">
        <v>1444.66</v>
      </c>
      <c r="U22" s="9">
        <v>1432.42</v>
      </c>
      <c r="V22" s="9">
        <v>1530.67</v>
      </c>
      <c r="W22" s="9">
        <v>1932</v>
      </c>
      <c r="X22" s="9">
        <v>1746.39</v>
      </c>
      <c r="Y22" s="9">
        <v>0.87220702445570997</v>
      </c>
      <c r="Z22" s="9">
        <v>0.40312710341548302</v>
      </c>
      <c r="AA22" s="9">
        <v>0.29723949553020901</v>
      </c>
      <c r="AB22" s="9">
        <v>0.96051921832804599</v>
      </c>
      <c r="AC22" s="9">
        <v>0.640043825635916</v>
      </c>
      <c r="AD22" s="9">
        <v>0.62235877703032205</v>
      </c>
      <c r="AE22" s="9">
        <v>0.50731169518433505</v>
      </c>
      <c r="AF22" s="9">
        <v>0.25696364830392998</v>
      </c>
      <c r="AG22" s="9">
        <v>0.48927038626609398</v>
      </c>
      <c r="AH22" s="9">
        <v>0.87220702445570997</v>
      </c>
      <c r="AI22" s="9">
        <v>0.40312710341548302</v>
      </c>
      <c r="AJ22" s="9">
        <v>0.29723949553020901</v>
      </c>
      <c r="AK22" s="9">
        <v>0.96051921832804599</v>
      </c>
      <c r="AL22" s="9">
        <v>0.640043825635916</v>
      </c>
      <c r="AM22" s="9">
        <v>0.62235877703032205</v>
      </c>
      <c r="AN22" s="9">
        <v>1.9742547186452599</v>
      </c>
      <c r="AO22" s="9">
        <v>1.0776091378501</v>
      </c>
      <c r="AP22" s="15">
        <v>0.48927038626609398</v>
      </c>
    </row>
    <row r="23" spans="1:42" x14ac:dyDescent="0.25">
      <c r="A23" s="6" t="s">
        <v>67</v>
      </c>
      <c r="B23" s="20" t="s">
        <v>98</v>
      </c>
      <c r="C23" s="7">
        <v>3989.87</v>
      </c>
      <c r="D23" s="7">
        <v>3506.93</v>
      </c>
      <c r="E23" s="7">
        <v>4509.08</v>
      </c>
      <c r="F23" s="7">
        <v>1524.21</v>
      </c>
      <c r="G23" s="7">
        <v>2037.03</v>
      </c>
      <c r="H23" s="7">
        <v>5378.16</v>
      </c>
      <c r="I23" s="7">
        <v>8063.84</v>
      </c>
      <c r="J23" s="7">
        <v>8445.92</v>
      </c>
      <c r="K23" s="7">
        <v>5275.3</v>
      </c>
      <c r="L23" s="7">
        <v>150.44</v>
      </c>
      <c r="M23" s="7">
        <v>149.44999999999999</v>
      </c>
      <c r="N23" s="7">
        <v>1161.79</v>
      </c>
      <c r="O23" s="7">
        <v>771.41</v>
      </c>
      <c r="P23" s="7">
        <v>2371.4699999999998</v>
      </c>
      <c r="Q23" s="7">
        <v>644.16</v>
      </c>
      <c r="R23" s="7">
        <v>637.57000000000005</v>
      </c>
      <c r="S23" s="7">
        <v>848.4</v>
      </c>
      <c r="T23" s="7">
        <v>1365.23</v>
      </c>
      <c r="U23" s="7">
        <v>1470.59</v>
      </c>
      <c r="V23" s="7">
        <v>1546.04</v>
      </c>
      <c r="W23" s="7">
        <v>1937.82</v>
      </c>
      <c r="X23" s="7">
        <v>1874.06</v>
      </c>
      <c r="Y23" s="7">
        <v>0.88485234238469901</v>
      </c>
      <c r="Z23" s="7">
        <v>0.33803126136595402</v>
      </c>
      <c r="AA23" s="7">
        <v>0.45176177845591498</v>
      </c>
      <c r="AB23" s="7">
        <v>0.98087449982893704</v>
      </c>
      <c r="AC23" s="7">
        <v>0.65419204746125903</v>
      </c>
      <c r="AD23" s="7">
        <v>0.62459743876333096</v>
      </c>
      <c r="AE23" s="7">
        <v>0.66398402465161499</v>
      </c>
      <c r="AF23" s="7">
        <v>0.32528769075720898</v>
      </c>
      <c r="AG23" s="7">
        <v>0.75149693540782603</v>
      </c>
      <c r="AH23" s="7">
        <v>0.88485234238469901</v>
      </c>
      <c r="AI23" s="7">
        <v>0.33803126136595402</v>
      </c>
      <c r="AJ23" s="7">
        <v>0.45176177845591498</v>
      </c>
      <c r="AK23" s="7">
        <v>0.98087449982893704</v>
      </c>
      <c r="AL23" s="7">
        <v>0.65419204746125903</v>
      </c>
      <c r="AM23" s="7">
        <v>0.62459743876333096</v>
      </c>
      <c r="AN23" s="7">
        <v>2.04122087468475</v>
      </c>
      <c r="AO23" s="7">
        <v>0.83504232509301102</v>
      </c>
      <c r="AP23" s="14">
        <v>0.75149693540782603</v>
      </c>
    </row>
    <row r="24" spans="1:42" x14ac:dyDescent="0.25">
      <c r="A24" s="8" t="s">
        <v>69</v>
      </c>
      <c r="B24" s="19" t="s">
        <v>98</v>
      </c>
      <c r="C24" s="9">
        <v>3924.1</v>
      </c>
      <c r="D24" s="9">
        <v>3674.2</v>
      </c>
      <c r="E24" s="9">
        <v>4628.1000000000004</v>
      </c>
      <c r="F24" s="9">
        <v>1520.68</v>
      </c>
      <c r="G24" s="9">
        <v>1960.05</v>
      </c>
      <c r="H24" s="9">
        <v>5572.03</v>
      </c>
      <c r="I24" s="9">
        <v>8504.85</v>
      </c>
      <c r="J24" s="9">
        <v>8645.7999999999993</v>
      </c>
      <c r="K24" s="9">
        <v>5370.97</v>
      </c>
      <c r="L24" s="9">
        <v>147.22</v>
      </c>
      <c r="M24" s="9">
        <v>153.72</v>
      </c>
      <c r="N24" s="9">
        <v>1381.05</v>
      </c>
      <c r="O24" s="9">
        <v>688.13</v>
      </c>
      <c r="P24" s="9">
        <v>2306.2399999999998</v>
      </c>
      <c r="Q24" s="9">
        <v>781.51</v>
      </c>
      <c r="R24" s="9">
        <v>593.42999999999995</v>
      </c>
      <c r="S24" s="9">
        <v>750.1</v>
      </c>
      <c r="T24" s="9">
        <v>1302.83</v>
      </c>
      <c r="U24" s="9">
        <v>1252.74</v>
      </c>
      <c r="V24" s="9">
        <v>1333.8</v>
      </c>
      <c r="W24" s="9">
        <v>1919.73</v>
      </c>
      <c r="X24" s="9">
        <v>1372.3</v>
      </c>
      <c r="Y24" s="9">
        <v>0.847885741448974</v>
      </c>
      <c r="Z24" s="9">
        <v>0.32857544132581401</v>
      </c>
      <c r="AA24" s="9">
        <v>0.423510727944512</v>
      </c>
      <c r="AB24" s="9">
        <v>0.96391620289194402</v>
      </c>
      <c r="AC24" s="9">
        <v>0.63151848651063802</v>
      </c>
      <c r="AD24" s="9">
        <v>0.62122302158273301</v>
      </c>
      <c r="AE24" s="9">
        <v>0.49826581224430599</v>
      </c>
      <c r="AF24" s="9">
        <v>0.29837744553905898</v>
      </c>
      <c r="AG24" s="9">
        <v>0.79113451539794599</v>
      </c>
      <c r="AH24" s="9">
        <v>0.847885741448974</v>
      </c>
      <c r="AI24" s="9">
        <v>0.32857544132581401</v>
      </c>
      <c r="AJ24" s="9">
        <v>0.423510727944512</v>
      </c>
      <c r="AK24" s="9">
        <v>0.96391620289194402</v>
      </c>
      <c r="AL24" s="9">
        <v>0.63151848651063802</v>
      </c>
      <c r="AM24" s="9">
        <v>0.62122302158273301</v>
      </c>
      <c r="AN24" s="9">
        <v>1.66991781615437</v>
      </c>
      <c r="AO24" s="9">
        <v>1.1357011029892601</v>
      </c>
      <c r="AP24" s="15">
        <v>0.79113451539794599</v>
      </c>
    </row>
    <row r="25" spans="1:42" x14ac:dyDescent="0.25">
      <c r="A25" s="6" t="s">
        <v>71</v>
      </c>
      <c r="B25" s="20" t="s">
        <v>98</v>
      </c>
      <c r="C25" s="7">
        <v>4045.97</v>
      </c>
      <c r="D25" s="7">
        <v>3735.48</v>
      </c>
      <c r="E25" s="7">
        <v>4851.8</v>
      </c>
      <c r="F25" s="7">
        <v>2094.7399999999998</v>
      </c>
      <c r="G25" s="7">
        <v>1561.72</v>
      </c>
      <c r="H25" s="7">
        <v>5714.28</v>
      </c>
      <c r="I25" s="7">
        <v>8678.7999999999993</v>
      </c>
      <c r="J25" s="7">
        <v>8890.2999999999993</v>
      </c>
      <c r="K25" s="7">
        <v>5692.37</v>
      </c>
      <c r="L25" s="7">
        <v>148.13</v>
      </c>
      <c r="M25" s="7">
        <v>160.78</v>
      </c>
      <c r="N25" s="7">
        <v>1340.22</v>
      </c>
      <c r="O25" s="7">
        <v>677.48</v>
      </c>
      <c r="P25" s="7">
        <v>2208.63</v>
      </c>
      <c r="Q25" s="7">
        <v>785.06</v>
      </c>
      <c r="R25" s="7">
        <v>503.96</v>
      </c>
      <c r="S25" s="7">
        <v>895.77</v>
      </c>
      <c r="T25" s="7">
        <v>1515.85</v>
      </c>
      <c r="U25" s="7">
        <v>1530.4</v>
      </c>
      <c r="V25" s="7">
        <v>1558.83</v>
      </c>
      <c r="W25" s="7">
        <v>2000.67</v>
      </c>
      <c r="X25" s="7">
        <v>1604.48</v>
      </c>
      <c r="Y25" s="7">
        <v>0.83391112576775595</v>
      </c>
      <c r="Z25" s="7">
        <v>0.43174491941135201</v>
      </c>
      <c r="AA25" s="7">
        <v>0.32188466136279298</v>
      </c>
      <c r="AB25" s="7">
        <v>0.99616574616574605</v>
      </c>
      <c r="AC25" s="7">
        <v>0.65589367193621195</v>
      </c>
      <c r="AD25" s="7">
        <v>0.64028997896583895</v>
      </c>
      <c r="AE25" s="7">
        <v>0.505499097163152</v>
      </c>
      <c r="AF25" s="7">
        <v>0.30674218859655</v>
      </c>
      <c r="AG25" s="7">
        <v>0.56259977449568499</v>
      </c>
      <c r="AH25" s="7">
        <v>0.83391112576775595</v>
      </c>
      <c r="AI25" s="7">
        <v>0.43174491941135201</v>
      </c>
      <c r="AJ25" s="7">
        <v>0.32188466136279298</v>
      </c>
      <c r="AK25" s="7">
        <v>0.99616574616574605</v>
      </c>
      <c r="AL25" s="7">
        <v>0.65589367193621195</v>
      </c>
      <c r="AM25" s="7">
        <v>0.64028997896583895</v>
      </c>
      <c r="AN25" s="7">
        <v>1.64796078255808</v>
      </c>
      <c r="AO25" s="7">
        <v>1.1587943555529301</v>
      </c>
      <c r="AP25" s="14">
        <v>0.56259977449568499</v>
      </c>
    </row>
    <row r="26" spans="1:42" x14ac:dyDescent="0.25">
      <c r="A26" s="8" t="s">
        <v>72</v>
      </c>
      <c r="B26" s="19" t="s">
        <v>98</v>
      </c>
      <c r="C26" s="9">
        <v>3862.44</v>
      </c>
      <c r="D26" s="9">
        <v>3499.71</v>
      </c>
      <c r="E26" s="9">
        <v>4597.01</v>
      </c>
      <c r="F26" s="9">
        <v>1379.67</v>
      </c>
      <c r="G26" s="9">
        <v>1750.32</v>
      </c>
      <c r="H26" s="9">
        <v>5231.88</v>
      </c>
      <c r="I26" s="9">
        <v>7912.14</v>
      </c>
      <c r="J26" s="9">
        <v>8363.66</v>
      </c>
      <c r="K26" s="9">
        <v>5284.65</v>
      </c>
      <c r="L26" s="9">
        <v>149.88999999999999</v>
      </c>
      <c r="M26" s="9">
        <v>149.30000000000001</v>
      </c>
      <c r="N26" s="9">
        <v>1035.3599999999999</v>
      </c>
      <c r="O26" s="9">
        <v>536.65</v>
      </c>
      <c r="P26" s="9">
        <v>2133.69</v>
      </c>
      <c r="Q26" s="9">
        <v>714.86</v>
      </c>
      <c r="R26" s="9">
        <v>666.95</v>
      </c>
      <c r="S26" s="9">
        <v>683.7</v>
      </c>
      <c r="T26" s="9">
        <v>1309.74</v>
      </c>
      <c r="U26" s="9">
        <v>1338.57</v>
      </c>
      <c r="V26" s="9">
        <v>1424.64</v>
      </c>
      <c r="W26" s="9">
        <v>1862.11</v>
      </c>
      <c r="X26" s="9">
        <v>1373.94</v>
      </c>
      <c r="Y26" s="9">
        <v>0.84020700411789395</v>
      </c>
      <c r="Z26" s="9">
        <v>0.300123341041242</v>
      </c>
      <c r="AA26" s="9">
        <v>0.38075183651982403</v>
      </c>
      <c r="AB26" s="9">
        <v>1.0100862405101001</v>
      </c>
      <c r="AC26" s="9">
        <v>0.66791664454875599</v>
      </c>
      <c r="AD26" s="9"/>
      <c r="AE26" s="9">
        <v>0.51832212950084999</v>
      </c>
      <c r="AF26" s="9">
        <v>0.25151263773087901</v>
      </c>
      <c r="AG26" s="9">
        <v>0.97550095070937504</v>
      </c>
      <c r="AH26" s="9">
        <v>0.84020700411789395</v>
      </c>
      <c r="AI26" s="9">
        <v>0.300123341041242</v>
      </c>
      <c r="AJ26" s="9">
        <v>0.38075183651982403</v>
      </c>
      <c r="AK26" s="9">
        <v>1.0100862405101001</v>
      </c>
      <c r="AL26" s="9">
        <v>0.66791664454875599</v>
      </c>
      <c r="AM26" s="9">
        <v>0.63185854039977696</v>
      </c>
      <c r="AN26" s="9">
        <v>2.0608194251274901</v>
      </c>
      <c r="AO26" s="9">
        <v>1.3320786359824801</v>
      </c>
      <c r="AP26" s="15">
        <v>0.97550095070937504</v>
      </c>
    </row>
    <row r="27" spans="1:42" x14ac:dyDescent="0.25">
      <c r="A27" s="6" t="s">
        <v>73</v>
      </c>
      <c r="B27" s="20" t="s">
        <v>98</v>
      </c>
      <c r="C27" s="7">
        <v>4207.99</v>
      </c>
      <c r="D27" s="7">
        <v>4090.03</v>
      </c>
      <c r="E27" s="7">
        <v>5058.53</v>
      </c>
      <c r="F27" s="7">
        <v>1651.85</v>
      </c>
      <c r="G27" s="7">
        <v>2194.4899999999998</v>
      </c>
      <c r="H27" s="7">
        <v>5896.09</v>
      </c>
      <c r="I27" s="7">
        <v>8986.76</v>
      </c>
      <c r="J27" s="7">
        <v>9495.57</v>
      </c>
      <c r="K27" s="7">
        <v>4871.22</v>
      </c>
      <c r="L27" s="7">
        <v>144.65</v>
      </c>
      <c r="M27" s="7">
        <v>157.37</v>
      </c>
      <c r="N27" s="7">
        <v>1519.42</v>
      </c>
      <c r="O27" s="7">
        <v>755.16</v>
      </c>
      <c r="P27" s="7">
        <v>2409.8200000000002</v>
      </c>
      <c r="Q27" s="7">
        <v>659.39</v>
      </c>
      <c r="R27" s="7">
        <v>642.91</v>
      </c>
      <c r="S27" s="7">
        <v>803.04</v>
      </c>
      <c r="T27" s="7">
        <v>1577.88</v>
      </c>
      <c r="U27" s="7">
        <v>1572.8</v>
      </c>
      <c r="V27" s="7">
        <v>1687.42</v>
      </c>
      <c r="W27" s="7">
        <v>2507.13</v>
      </c>
      <c r="X27" s="7">
        <v>1530.18</v>
      </c>
      <c r="Y27" s="7">
        <v>0.831860243983924</v>
      </c>
      <c r="Z27" s="7">
        <v>0.32654743571749101</v>
      </c>
      <c r="AA27" s="7">
        <v>0.43381970651552898</v>
      </c>
      <c r="AB27" s="7">
        <v>0.82617802645481997</v>
      </c>
      <c r="AC27" s="7">
        <v>0.54204407372623697</v>
      </c>
      <c r="AD27" s="7">
        <v>0.51299921963610395</v>
      </c>
      <c r="AE27" s="7">
        <v>0.49700543628489802</v>
      </c>
      <c r="AF27" s="7">
        <v>0.31336780340440301</v>
      </c>
      <c r="AG27" s="7">
        <v>0.80059523809523803</v>
      </c>
      <c r="AH27" s="7">
        <v>0.831860243983924</v>
      </c>
      <c r="AI27" s="7">
        <v>0.32654743571749101</v>
      </c>
      <c r="AJ27" s="7">
        <v>0.43381970651552898</v>
      </c>
      <c r="AK27" s="7">
        <v>0.82617802645481997</v>
      </c>
      <c r="AL27" s="7">
        <v>0.54204407372623697</v>
      </c>
      <c r="AM27" s="7">
        <v>0.51299921963610395</v>
      </c>
      <c r="AN27" s="7">
        <v>1.58601308393992</v>
      </c>
      <c r="AO27" s="7">
        <v>0.87317919381323095</v>
      </c>
      <c r="AP27" s="14">
        <v>0.80059523809523803</v>
      </c>
    </row>
    <row r="28" spans="1:42" x14ac:dyDescent="0.25">
      <c r="A28" s="8" t="s">
        <v>74</v>
      </c>
      <c r="B28" s="19" t="s">
        <v>98</v>
      </c>
      <c r="C28" s="9">
        <v>4310.1099999999997</v>
      </c>
      <c r="D28" s="9">
        <v>3871.48</v>
      </c>
      <c r="E28" s="9">
        <v>4836.41</v>
      </c>
      <c r="F28" s="9">
        <v>1663.11</v>
      </c>
      <c r="G28" s="9">
        <v>2091.39</v>
      </c>
      <c r="H28" s="9">
        <v>5582.49</v>
      </c>
      <c r="I28" s="9">
        <v>8371.27</v>
      </c>
      <c r="J28" s="9">
        <v>8923.75</v>
      </c>
      <c r="K28" s="9">
        <v>5567.72</v>
      </c>
      <c r="L28" s="9">
        <v>150.56</v>
      </c>
      <c r="M28" s="9">
        <v>149.15</v>
      </c>
      <c r="N28" s="9">
        <v>1212.82</v>
      </c>
      <c r="O28" s="9">
        <v>684.54</v>
      </c>
      <c r="P28" s="9">
        <v>2352.23</v>
      </c>
      <c r="Q28" s="9">
        <v>910.08</v>
      </c>
      <c r="R28" s="9">
        <v>612.79</v>
      </c>
      <c r="S28" s="9">
        <v>917</v>
      </c>
      <c r="T28" s="9">
        <v>1370.23</v>
      </c>
      <c r="U28" s="9">
        <v>1384.7</v>
      </c>
      <c r="V28" s="9">
        <v>1449.36</v>
      </c>
      <c r="W28" s="9">
        <v>1874.7</v>
      </c>
      <c r="X28" s="9">
        <v>1601.07</v>
      </c>
      <c r="Y28" s="9">
        <v>0.89117961463151296</v>
      </c>
      <c r="Z28" s="9">
        <v>0.34387283129428597</v>
      </c>
      <c r="AA28" s="9">
        <v>0.43242611771954798</v>
      </c>
      <c r="AB28" s="9">
        <v>0.99735422723551603</v>
      </c>
      <c r="AC28" s="9">
        <v>0.665098605110096</v>
      </c>
      <c r="AD28" s="9">
        <v>0.623921557641126</v>
      </c>
      <c r="AE28" s="9">
        <v>0.56442011180554397</v>
      </c>
      <c r="AF28" s="9">
        <v>0.29101746002729301</v>
      </c>
      <c r="AG28" s="9">
        <v>0.66825517993456895</v>
      </c>
      <c r="AH28" s="9">
        <v>0.89117961463151296</v>
      </c>
      <c r="AI28" s="9">
        <v>0.34387283129428597</v>
      </c>
      <c r="AJ28" s="9">
        <v>0.43242611771954798</v>
      </c>
      <c r="AK28" s="9">
        <v>0.99735422723551603</v>
      </c>
      <c r="AL28" s="9">
        <v>0.665098605110096</v>
      </c>
      <c r="AM28" s="9">
        <v>0.623921557641126</v>
      </c>
      <c r="AN28" s="9">
        <v>1.93947164459689</v>
      </c>
      <c r="AO28" s="9">
        <v>1.3294767288982301</v>
      </c>
      <c r="AP28" s="15">
        <v>0.66825517993456895</v>
      </c>
    </row>
    <row r="29" spans="1:42" x14ac:dyDescent="0.25">
      <c r="A29" s="6" t="s">
        <v>75</v>
      </c>
      <c r="B29" s="20" t="s">
        <v>98</v>
      </c>
      <c r="C29" s="7">
        <v>4477.21</v>
      </c>
      <c r="D29" s="7">
        <v>4020.76</v>
      </c>
      <c r="E29" s="7">
        <v>4969.25</v>
      </c>
      <c r="F29" s="7">
        <v>1830.78</v>
      </c>
      <c r="G29" s="7">
        <v>2363.89</v>
      </c>
      <c r="H29" s="7">
        <v>6054.12</v>
      </c>
      <c r="I29" s="7">
        <v>8994.2000000000007</v>
      </c>
      <c r="J29" s="7">
        <v>9478.35</v>
      </c>
      <c r="K29" s="7">
        <v>6004.95</v>
      </c>
      <c r="L29" s="7">
        <v>144.09</v>
      </c>
      <c r="M29" s="7">
        <v>151.1</v>
      </c>
      <c r="N29" s="7">
        <v>1386.51</v>
      </c>
      <c r="O29" s="7">
        <v>823.87</v>
      </c>
      <c r="P29" s="7">
        <v>2494.29</v>
      </c>
      <c r="Q29" s="7">
        <v>768.56</v>
      </c>
      <c r="R29" s="7">
        <v>654.5</v>
      </c>
      <c r="S29" s="7">
        <v>925.9</v>
      </c>
      <c r="T29" s="7">
        <v>1559.14</v>
      </c>
      <c r="U29" s="7">
        <v>1506.02</v>
      </c>
      <c r="V29" s="7">
        <v>1471.37</v>
      </c>
      <c r="W29" s="7">
        <v>2491.27</v>
      </c>
      <c r="X29" s="7">
        <v>1831.27</v>
      </c>
      <c r="Y29" s="7">
        <v>0.90098304573124699</v>
      </c>
      <c r="Z29" s="7">
        <v>0.368421794033304</v>
      </c>
      <c r="AA29" s="7">
        <v>0.47570357699854099</v>
      </c>
      <c r="AB29" s="7">
        <v>0.99187825811183095</v>
      </c>
      <c r="AC29" s="7">
        <v>0.66764692802027903</v>
      </c>
      <c r="AD29" s="7">
        <v>0.63354381300542795</v>
      </c>
      <c r="AE29" s="7">
        <v>0.59420415287304096</v>
      </c>
      <c r="AF29" s="7">
        <v>0.33030241070605199</v>
      </c>
      <c r="AG29" s="7">
        <v>0.70687979263419298</v>
      </c>
      <c r="AH29" s="7">
        <v>0.90098304573124699</v>
      </c>
      <c r="AI29" s="7">
        <v>0.368421794033304</v>
      </c>
      <c r="AJ29" s="7">
        <v>0.47570357699854099</v>
      </c>
      <c r="AK29" s="7">
        <v>0.99187825811183095</v>
      </c>
      <c r="AL29" s="7">
        <v>0.66764692802027903</v>
      </c>
      <c r="AM29" s="7">
        <v>0.63354381300542795</v>
      </c>
      <c r="AN29" s="7">
        <v>1.79897007594608</v>
      </c>
      <c r="AO29" s="7">
        <v>0.93286562200347101</v>
      </c>
      <c r="AP29" s="14">
        <v>0.70687979263419298</v>
      </c>
    </row>
    <row r="30" spans="1:42" x14ac:dyDescent="0.25">
      <c r="A30" s="8" t="s">
        <v>76</v>
      </c>
      <c r="B30" s="19" t="s">
        <v>98</v>
      </c>
      <c r="C30" s="9">
        <v>4134.28</v>
      </c>
      <c r="D30" s="9">
        <v>4009.18</v>
      </c>
      <c r="E30" s="9">
        <v>4895.32</v>
      </c>
      <c r="F30" s="9">
        <v>1702.28</v>
      </c>
      <c r="G30" s="9">
        <v>2261.59</v>
      </c>
      <c r="H30" s="9">
        <v>5734.82</v>
      </c>
      <c r="I30" s="9">
        <v>8794.98</v>
      </c>
      <c r="J30" s="9">
        <v>9392.86</v>
      </c>
      <c r="K30" s="9">
        <v>6012.14</v>
      </c>
      <c r="L30" s="9">
        <v>151.22999999999999</v>
      </c>
      <c r="M30" s="9">
        <v>164.38</v>
      </c>
      <c r="N30" s="9">
        <v>1448.98</v>
      </c>
      <c r="O30" s="9">
        <v>659.47</v>
      </c>
      <c r="P30" s="9">
        <v>2404.8200000000002</v>
      </c>
      <c r="Q30" s="9">
        <v>784.58</v>
      </c>
      <c r="R30" s="9">
        <v>597.63</v>
      </c>
      <c r="S30" s="9">
        <v>929.92</v>
      </c>
      <c r="T30" s="9">
        <v>1454.5</v>
      </c>
      <c r="U30" s="9">
        <v>1489.44</v>
      </c>
      <c r="V30" s="9">
        <v>1582.92</v>
      </c>
      <c r="W30" s="9">
        <v>2324.2199999999998</v>
      </c>
      <c r="X30" s="9">
        <v>1868.85</v>
      </c>
      <c r="Y30" s="9">
        <v>0.84453723147822801</v>
      </c>
      <c r="Z30" s="9">
        <v>0.34773620519189702</v>
      </c>
      <c r="AA30" s="9">
        <v>0.46199022740086398</v>
      </c>
      <c r="AB30" s="9">
        <v>1.0483572283000999</v>
      </c>
      <c r="AC30" s="9">
        <v>0.68358768297369599</v>
      </c>
      <c r="AD30" s="9">
        <v>0.64007554674508005</v>
      </c>
      <c r="AE30" s="9">
        <v>0.45512705489378702</v>
      </c>
      <c r="AF30" s="9">
        <v>0.27422842458063301</v>
      </c>
      <c r="AG30" s="9">
        <v>0.64266818651066704</v>
      </c>
      <c r="AH30" s="9">
        <v>0.84453723147822801</v>
      </c>
      <c r="AI30" s="9">
        <v>0.34773620519189702</v>
      </c>
      <c r="AJ30" s="9">
        <v>0.46199022740086398</v>
      </c>
      <c r="AK30" s="9">
        <v>1.0483572283000999</v>
      </c>
      <c r="AL30" s="9">
        <v>0.68358768297369599</v>
      </c>
      <c r="AM30" s="9">
        <v>0.64007554674508005</v>
      </c>
      <c r="AN30" s="9">
        <v>1.6596640395312501</v>
      </c>
      <c r="AO30" s="9">
        <v>1.18971295130938</v>
      </c>
      <c r="AP30" s="15">
        <v>0.64266818651066704</v>
      </c>
    </row>
    <row r="31" spans="1:42" x14ac:dyDescent="0.25">
      <c r="A31" s="6" t="s">
        <v>77</v>
      </c>
      <c r="B31" s="20" t="s">
        <v>98</v>
      </c>
      <c r="C31" s="7">
        <v>4117.55</v>
      </c>
      <c r="D31" s="7">
        <v>3584.51</v>
      </c>
      <c r="E31" s="7">
        <v>4739.3599999999997</v>
      </c>
      <c r="F31" s="7">
        <v>1484.83</v>
      </c>
      <c r="G31" s="7">
        <v>2006.04</v>
      </c>
      <c r="H31" s="7">
        <v>5639.24</v>
      </c>
      <c r="I31" s="7">
        <v>8186.13</v>
      </c>
      <c r="J31" s="7">
        <v>8953.1</v>
      </c>
      <c r="K31" s="7">
        <v>5483.97</v>
      </c>
      <c r="L31" s="7">
        <v>151.16999999999999</v>
      </c>
      <c r="M31" s="7">
        <v>155.05000000000001</v>
      </c>
      <c r="N31" s="7">
        <v>1324.39</v>
      </c>
      <c r="O31" s="7">
        <v>640.19000000000005</v>
      </c>
      <c r="P31" s="7">
        <v>2429.4299999999998</v>
      </c>
      <c r="Q31" s="7">
        <v>956.22</v>
      </c>
      <c r="R31" s="7">
        <v>590.94000000000005</v>
      </c>
      <c r="S31" s="7">
        <v>853.74</v>
      </c>
      <c r="T31" s="7">
        <v>1425.46</v>
      </c>
      <c r="U31" s="7">
        <v>1381.22</v>
      </c>
      <c r="V31" s="7">
        <v>1463.85</v>
      </c>
      <c r="W31" s="7">
        <v>1861.98</v>
      </c>
      <c r="X31" s="7">
        <v>1199.02</v>
      </c>
      <c r="Y31" s="7">
        <v>0.86879874075824504</v>
      </c>
      <c r="Z31" s="7">
        <v>0.31329757604402197</v>
      </c>
      <c r="AA31" s="7">
        <v>0.42327234056919</v>
      </c>
      <c r="AB31" s="7">
        <v>0.97246614792064201</v>
      </c>
      <c r="AC31" s="7">
        <v>0.66990995745242199</v>
      </c>
      <c r="AD31" s="7">
        <v>0.61252191978197501</v>
      </c>
      <c r="AE31" s="7">
        <v>0.48338480356994501</v>
      </c>
      <c r="AF31" s="7">
        <v>0.26351448693726498</v>
      </c>
      <c r="AG31" s="7">
        <v>0.69217794644739605</v>
      </c>
      <c r="AH31" s="7">
        <v>0.86879874075824504</v>
      </c>
      <c r="AI31" s="7">
        <v>0.31329757604402197</v>
      </c>
      <c r="AJ31" s="7">
        <v>0.42327234056919</v>
      </c>
      <c r="AK31" s="7">
        <v>0.97246614792064101</v>
      </c>
      <c r="AL31" s="7">
        <v>0.66990995745242199</v>
      </c>
      <c r="AM31" s="7">
        <v>0.61252191978197501</v>
      </c>
      <c r="AN31" s="7">
        <v>1.83437658091649</v>
      </c>
      <c r="AO31" s="7">
        <v>1.49365032256048</v>
      </c>
      <c r="AP31" s="14">
        <v>0.69217794644739605</v>
      </c>
    </row>
    <row r="32" spans="1:42" x14ac:dyDescent="0.25">
      <c r="A32" s="8" t="s">
        <v>78</v>
      </c>
      <c r="B32" s="19" t="s">
        <v>98</v>
      </c>
      <c r="C32" s="9">
        <v>4000.29</v>
      </c>
      <c r="D32" s="9">
        <v>4037.84</v>
      </c>
      <c r="E32" s="9">
        <v>4972.28</v>
      </c>
      <c r="F32" s="9">
        <v>1599.46</v>
      </c>
      <c r="G32" s="9">
        <v>2077.79</v>
      </c>
      <c r="H32" s="9">
        <v>5779.71</v>
      </c>
      <c r="I32" s="9">
        <v>8880.82</v>
      </c>
      <c r="J32" s="9">
        <v>9416.34</v>
      </c>
      <c r="K32" s="9">
        <v>5878.9</v>
      </c>
      <c r="L32" s="9">
        <v>148.46</v>
      </c>
      <c r="M32" s="9">
        <v>152.85</v>
      </c>
      <c r="N32" s="9">
        <v>1438.94</v>
      </c>
      <c r="O32" s="9">
        <v>843.99</v>
      </c>
      <c r="P32" s="9">
        <v>2538.54</v>
      </c>
      <c r="Q32" s="9">
        <v>1076.3499999999999</v>
      </c>
      <c r="R32" s="9">
        <v>668.04</v>
      </c>
      <c r="S32" s="9">
        <v>876.15</v>
      </c>
      <c r="T32" s="9">
        <v>1510.9</v>
      </c>
      <c r="U32" s="9">
        <v>1513.25</v>
      </c>
      <c r="V32" s="9">
        <v>1613.98</v>
      </c>
      <c r="W32" s="9">
        <v>2462.41</v>
      </c>
      <c r="X32" s="9">
        <v>1672.15</v>
      </c>
      <c r="Y32" s="9">
        <v>0.80451824917341697</v>
      </c>
      <c r="Z32" s="9">
        <v>0.32167536824153098</v>
      </c>
      <c r="AA32" s="9">
        <v>0.41787469732195198</v>
      </c>
      <c r="AB32" s="9">
        <v>1.01716176071117</v>
      </c>
      <c r="AC32" s="9">
        <v>0.66197715976677796</v>
      </c>
      <c r="AD32" s="9">
        <v>0.624329622762134</v>
      </c>
      <c r="AE32" s="9">
        <v>0.58653592227611995</v>
      </c>
      <c r="AF32" s="9">
        <v>0.332470632725897</v>
      </c>
      <c r="AG32" s="9">
        <v>0.76247217942133105</v>
      </c>
      <c r="AH32" s="9">
        <v>0.80451824917341697</v>
      </c>
      <c r="AI32" s="9">
        <v>0.32167536824153098</v>
      </c>
      <c r="AJ32" s="9">
        <v>0.41787469732195198</v>
      </c>
      <c r="AK32" s="9">
        <v>1.01716176071117</v>
      </c>
      <c r="AL32" s="9">
        <v>0.66197715976677796</v>
      </c>
      <c r="AM32" s="9">
        <v>0.624329622762134</v>
      </c>
      <c r="AN32" s="9">
        <v>1.7641736278093501</v>
      </c>
      <c r="AO32" s="9">
        <v>1.27531131885448</v>
      </c>
      <c r="AP32" s="15">
        <v>0.76247217942133105</v>
      </c>
    </row>
    <row r="33" spans="1:42" x14ac:dyDescent="0.25">
      <c r="A33" s="6" t="s">
        <v>79</v>
      </c>
      <c r="B33" s="20" t="s">
        <v>98</v>
      </c>
      <c r="C33" s="7">
        <v>4505.37</v>
      </c>
      <c r="D33" s="7">
        <v>3814.1</v>
      </c>
      <c r="E33" s="7">
        <v>4786.9399999999996</v>
      </c>
      <c r="F33" s="7">
        <v>1632.58</v>
      </c>
      <c r="G33" s="7">
        <v>2174</v>
      </c>
      <c r="H33" s="7">
        <v>5926.81</v>
      </c>
      <c r="I33" s="7">
        <v>8621.43</v>
      </c>
      <c r="J33" s="7">
        <v>9022.0499999999993</v>
      </c>
      <c r="K33" s="7">
        <v>5455.91</v>
      </c>
      <c r="L33" s="7">
        <v>149.38</v>
      </c>
      <c r="M33" s="7">
        <v>154.86000000000001</v>
      </c>
      <c r="N33" s="7">
        <v>1360.45</v>
      </c>
      <c r="O33" s="7">
        <v>651.66</v>
      </c>
      <c r="P33" s="7">
        <v>2285.56</v>
      </c>
      <c r="Q33" s="7">
        <v>855.95</v>
      </c>
      <c r="R33" s="7">
        <v>506.81</v>
      </c>
      <c r="S33" s="7">
        <v>716.15</v>
      </c>
      <c r="T33" s="7">
        <v>1525.27</v>
      </c>
      <c r="U33" s="7">
        <v>1532.5</v>
      </c>
      <c r="V33" s="7">
        <v>1537.63</v>
      </c>
      <c r="W33" s="7">
        <v>2307.4899999999998</v>
      </c>
      <c r="X33" s="7">
        <v>1815.1</v>
      </c>
      <c r="Y33" s="7">
        <v>0.94117954267235404</v>
      </c>
      <c r="Z33" s="7">
        <v>0.341048770195573</v>
      </c>
      <c r="AA33" s="7">
        <v>0.45415233949036299</v>
      </c>
      <c r="AB33" s="7">
        <v>0.92054747832307704</v>
      </c>
      <c r="AC33" s="7">
        <v>0.63283121245547402</v>
      </c>
      <c r="AD33" s="7">
        <v>0.60473063217339695</v>
      </c>
      <c r="AE33" s="7">
        <v>0.47900327097651502</v>
      </c>
      <c r="AF33" s="7">
        <v>0.28512049563345498</v>
      </c>
      <c r="AG33" s="7">
        <v>0.70768693709418395</v>
      </c>
      <c r="AH33" s="7">
        <v>0.94117954267235404</v>
      </c>
      <c r="AI33" s="7">
        <v>0.341048770195573</v>
      </c>
      <c r="AJ33" s="7">
        <v>0.45415233949036299</v>
      </c>
      <c r="AK33" s="7">
        <v>0.92054747832307704</v>
      </c>
      <c r="AL33" s="7">
        <v>0.63283121245547402</v>
      </c>
      <c r="AM33" s="7">
        <v>0.60473063217339695</v>
      </c>
      <c r="AN33" s="7">
        <v>1.6800029402036001</v>
      </c>
      <c r="AO33" s="7">
        <v>1.3134916981247799</v>
      </c>
      <c r="AP33" s="14">
        <v>0.70768693709418395</v>
      </c>
    </row>
    <row r="34" spans="1:42" x14ac:dyDescent="0.25">
      <c r="A34" s="8" t="s">
        <v>80</v>
      </c>
      <c r="B34" s="19" t="s">
        <v>98</v>
      </c>
      <c r="C34" s="9">
        <v>3836.37</v>
      </c>
      <c r="D34" s="9">
        <v>3599.31</v>
      </c>
      <c r="E34" s="9">
        <v>4731.99</v>
      </c>
      <c r="F34" s="9">
        <v>1470.47</v>
      </c>
      <c r="G34" s="9">
        <v>1883.11</v>
      </c>
      <c r="H34" s="9">
        <v>5641.74</v>
      </c>
      <c r="I34" s="9">
        <v>8537.5</v>
      </c>
      <c r="J34" s="9">
        <v>8996.2999999999993</v>
      </c>
      <c r="K34" s="9">
        <v>5764.17</v>
      </c>
      <c r="L34" s="9">
        <v>146.91</v>
      </c>
      <c r="M34" s="9">
        <v>152.1</v>
      </c>
      <c r="N34" s="9">
        <v>1242.28</v>
      </c>
      <c r="O34" s="9">
        <v>696.42</v>
      </c>
      <c r="P34" s="9">
        <v>2394.12</v>
      </c>
      <c r="Q34" s="9">
        <v>855.1</v>
      </c>
      <c r="R34" s="9">
        <v>566.54999999999995</v>
      </c>
      <c r="S34" s="9">
        <v>815.51</v>
      </c>
      <c r="T34" s="9">
        <v>1455.83</v>
      </c>
      <c r="U34" s="9">
        <v>1485.19</v>
      </c>
      <c r="V34" s="9">
        <v>1577.91</v>
      </c>
      <c r="W34" s="9">
        <v>2009.61</v>
      </c>
      <c r="X34" s="9">
        <v>1527.31</v>
      </c>
      <c r="Y34" s="9">
        <v>0.81073079190784403</v>
      </c>
      <c r="Z34" s="9">
        <v>0.31075086802803897</v>
      </c>
      <c r="AA34" s="9">
        <v>0.39795308105046701</v>
      </c>
      <c r="AB34" s="9">
        <v>1.02170075189569</v>
      </c>
      <c r="AC34" s="9">
        <v>0.67515900439238596</v>
      </c>
      <c r="AD34" s="9">
        <v>0.64072674321665501</v>
      </c>
      <c r="AE34" s="9">
        <v>0.56059825482177905</v>
      </c>
      <c r="AF34" s="9">
        <v>0.29088767480326799</v>
      </c>
      <c r="AG34" s="9">
        <v>0.69471864232198199</v>
      </c>
      <c r="AH34" s="9">
        <v>0.81073079190784403</v>
      </c>
      <c r="AI34" s="9">
        <v>0.31075086802803897</v>
      </c>
      <c r="AJ34" s="9">
        <v>0.39795308105046701</v>
      </c>
      <c r="AK34" s="9">
        <v>1.02170075189569</v>
      </c>
      <c r="AL34" s="9">
        <v>0.67515900439238596</v>
      </c>
      <c r="AM34" s="9">
        <v>0.64072674321665501</v>
      </c>
      <c r="AN34" s="9">
        <v>1.9271983771774399</v>
      </c>
      <c r="AO34" s="9">
        <v>1.2278510094483199</v>
      </c>
      <c r="AP34" s="15">
        <v>0.69471864232198199</v>
      </c>
    </row>
    <row r="35" spans="1:42" x14ac:dyDescent="0.25">
      <c r="A35" s="6" t="s">
        <v>81</v>
      </c>
      <c r="B35" s="20" t="s">
        <v>98</v>
      </c>
      <c r="C35" s="7">
        <v>4088.12</v>
      </c>
      <c r="D35" s="7">
        <v>3946.79</v>
      </c>
      <c r="E35" s="7">
        <v>4836.32</v>
      </c>
      <c r="F35" s="7">
        <v>1740.6</v>
      </c>
      <c r="G35" s="7">
        <v>2302.6</v>
      </c>
      <c r="H35" s="7">
        <v>5760.88</v>
      </c>
      <c r="I35" s="7">
        <v>8812.01</v>
      </c>
      <c r="J35" s="7">
        <v>9670.86</v>
      </c>
      <c r="K35" s="7">
        <v>5896.94</v>
      </c>
      <c r="L35" s="7">
        <v>151.51</v>
      </c>
      <c r="M35" s="7">
        <v>150.11000000000001</v>
      </c>
      <c r="N35" s="7">
        <v>1448.77</v>
      </c>
      <c r="O35" s="7">
        <v>800.33</v>
      </c>
      <c r="P35" s="7">
        <v>2421.58</v>
      </c>
      <c r="Q35" s="7">
        <v>952.27</v>
      </c>
      <c r="R35" s="7">
        <v>645.99</v>
      </c>
      <c r="S35" s="7">
        <v>822.58</v>
      </c>
      <c r="T35" s="7">
        <v>1406.24</v>
      </c>
      <c r="U35" s="7">
        <v>1482.8</v>
      </c>
      <c r="V35" s="7">
        <v>1587.51</v>
      </c>
      <c r="W35" s="7">
        <v>2349.86</v>
      </c>
      <c r="X35" s="7">
        <v>1811.6</v>
      </c>
      <c r="Y35" s="7">
        <v>0.84529559665199905</v>
      </c>
      <c r="Z35" s="7">
        <v>0.35990174347437698</v>
      </c>
      <c r="AA35" s="7">
        <v>0.47610579945082199</v>
      </c>
      <c r="AB35" s="7">
        <v>1.0236179194845201</v>
      </c>
      <c r="AC35" s="7">
        <v>0.66919352111493202</v>
      </c>
      <c r="AD35" s="7">
        <v>0.60976376454627601</v>
      </c>
      <c r="AE35" s="7">
        <v>0.55242032896871096</v>
      </c>
      <c r="AF35" s="7">
        <v>0.33049909563177698</v>
      </c>
      <c r="AG35" s="7">
        <v>0.78532179240924804</v>
      </c>
      <c r="AH35" s="7">
        <v>0.84529559665199905</v>
      </c>
      <c r="AI35" s="7">
        <v>0.35990174347437698</v>
      </c>
      <c r="AJ35" s="7">
        <v>0.47610579945082199</v>
      </c>
      <c r="AK35" s="7">
        <v>1.0236179194845201</v>
      </c>
      <c r="AL35" s="7">
        <v>0.66919352111493202</v>
      </c>
      <c r="AM35" s="7">
        <v>0.60976376454627601</v>
      </c>
      <c r="AN35" s="7">
        <v>1.67147304264997</v>
      </c>
      <c r="AO35" s="7">
        <v>1.1898466882411001</v>
      </c>
      <c r="AP35" s="14">
        <v>0.78532179240924804</v>
      </c>
    </row>
    <row r="36" spans="1:42" x14ac:dyDescent="0.25">
      <c r="A36" s="8" t="s">
        <v>82</v>
      </c>
      <c r="B36" s="19" t="s">
        <v>98</v>
      </c>
      <c r="C36" s="9">
        <v>4594.63</v>
      </c>
      <c r="D36" s="9">
        <v>3852.22</v>
      </c>
      <c r="E36" s="9">
        <v>4876.9399999999996</v>
      </c>
      <c r="F36" s="9">
        <v>1604.03</v>
      </c>
      <c r="G36" s="9">
        <v>2158.63</v>
      </c>
      <c r="H36" s="9">
        <v>5660.63</v>
      </c>
      <c r="I36" s="9">
        <v>8364.5300000000007</v>
      </c>
      <c r="J36" s="9">
        <v>9052.15</v>
      </c>
      <c r="K36" s="9">
        <v>5668.04</v>
      </c>
      <c r="L36" s="9">
        <v>150.16</v>
      </c>
      <c r="M36" s="9">
        <v>151.11000000000001</v>
      </c>
      <c r="N36" s="9">
        <v>1271.8599999999999</v>
      </c>
      <c r="O36" s="9">
        <v>651.26</v>
      </c>
      <c r="P36" s="9">
        <v>2546.59</v>
      </c>
      <c r="Q36" s="9">
        <v>901.65</v>
      </c>
      <c r="R36" s="9">
        <v>722.5</v>
      </c>
      <c r="S36" s="9">
        <v>944.49</v>
      </c>
      <c r="T36" s="9">
        <v>1422.92</v>
      </c>
      <c r="U36" s="9">
        <v>1426.88</v>
      </c>
      <c r="V36" s="9">
        <v>1512.94</v>
      </c>
      <c r="W36" s="9">
        <v>2088.15</v>
      </c>
      <c r="X36" s="9">
        <v>2485.2800000000002</v>
      </c>
      <c r="Y36" s="9">
        <v>0.94211329235135099</v>
      </c>
      <c r="Z36" s="9">
        <v>0.32890090917665499</v>
      </c>
      <c r="AA36" s="9">
        <v>0.44261975747087301</v>
      </c>
      <c r="AB36" s="9">
        <v>1.0013090415731101</v>
      </c>
      <c r="AC36" s="9">
        <v>0.67762803170052499</v>
      </c>
      <c r="AD36" s="9">
        <v>0.62615400761145101</v>
      </c>
      <c r="AE36" s="9">
        <v>0.51205321340399101</v>
      </c>
      <c r="AF36" s="9">
        <v>0.25573806541296401</v>
      </c>
      <c r="AG36" s="9">
        <v>0.76496310177979598</v>
      </c>
      <c r="AH36" s="9">
        <v>0.94211329235135099</v>
      </c>
      <c r="AI36" s="9">
        <v>0.32890090917665499</v>
      </c>
      <c r="AJ36" s="9">
        <v>0.44261975747087301</v>
      </c>
      <c r="AK36" s="9">
        <v>1.0013090415731101</v>
      </c>
      <c r="AL36" s="9">
        <v>0.67762803170052499</v>
      </c>
      <c r="AM36" s="9">
        <v>0.62615400761145101</v>
      </c>
      <c r="AN36" s="9">
        <v>2.0022565376692398</v>
      </c>
      <c r="AO36" s="9">
        <v>1.38447010410588</v>
      </c>
      <c r="AP36" s="15">
        <v>0.76496310177979598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BA0D7-5007-4D9A-BC7A-B05DAF3FD730}">
  <sheetPr codeName="Sheet3"/>
  <dimension ref="A1:AO17"/>
  <sheetViews>
    <sheetView tabSelected="1" workbookViewId="0">
      <selection activeCell="C18" sqref="C18"/>
    </sheetView>
  </sheetViews>
  <sheetFormatPr defaultRowHeight="15" x14ac:dyDescent="0.25"/>
  <cols>
    <col min="1" max="1" width="35.7109375" customWidth="1"/>
  </cols>
  <sheetData>
    <row r="1" spans="1:41" x14ac:dyDescent="0.25">
      <c r="A1" t="s">
        <v>103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85</v>
      </c>
      <c r="AH1" t="s">
        <v>86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</row>
    <row r="2" spans="1:41" x14ac:dyDescent="0.25">
      <c r="A2" t="s">
        <v>94</v>
      </c>
      <c r="B2">
        <f>AVERAGE(metrics!C$2:C$43)</f>
        <v>4109.5051351351349</v>
      </c>
      <c r="C2">
        <f>AVERAGE(metrics!D$2:D$43)</f>
        <v>3697.2127027027018</v>
      </c>
      <c r="D2">
        <f>AVERAGE(metrics!E$2:E$43)</f>
        <v>4712.4245945945941</v>
      </c>
      <c r="E2">
        <f>AVERAGE(metrics!F$2:F$43)</f>
        <v>1812.2243243243245</v>
      </c>
      <c r="F2">
        <f>AVERAGE(metrics!G$2:G$43)</f>
        <v>1779.767837837838</v>
      </c>
      <c r="G2">
        <f>AVERAGE(metrics!H$2:H$43)</f>
        <v>5553.0559523809516</v>
      </c>
      <c r="H2">
        <f>AVERAGE(metrics!I$2:I$43)</f>
        <v>8276.4771428571439</v>
      </c>
      <c r="I2">
        <f>AVERAGE(metrics!J$2:J$43)</f>
        <v>8737.0273809523787</v>
      </c>
      <c r="J2">
        <f>AVERAGE(metrics!K$2:K$43)</f>
        <v>5405.136428571429</v>
      </c>
      <c r="K2">
        <f>AVERAGE(metrics!L$2:L$43)</f>
        <v>150.54500000000002</v>
      </c>
      <c r="L2">
        <f>AVERAGE(metrics!M$2:M$43)</f>
        <v>151.3997619047619</v>
      </c>
      <c r="M2">
        <f>AVERAGE(metrics!N$2:N$43)</f>
        <v>1258.1773809523813</v>
      </c>
      <c r="N2">
        <f>AVERAGE(metrics!O$2:O$43)</f>
        <v>675.32880952380935</v>
      </c>
      <c r="O2">
        <f>AVERAGE(metrics!P$2:P$43)</f>
        <v>2192.4276190476185</v>
      </c>
      <c r="P2">
        <f>AVERAGE(metrics!Q$2:Q$43)</f>
        <v>793.98071428571438</v>
      </c>
      <c r="Q2">
        <f>AVERAGE(metrics!R$2:R$43)</f>
        <v>527.03857142857146</v>
      </c>
      <c r="R2">
        <f>AVERAGE(metrics!S$2:S$43)</f>
        <v>802.37285714285724</v>
      </c>
      <c r="S2">
        <f>AVERAGE(metrics!T$2:T$43)</f>
        <v>1445.8382926829267</v>
      </c>
      <c r="T2">
        <f>AVERAGE(metrics!U$2:U$43)</f>
        <v>1457.5073170731707</v>
      </c>
      <c r="U2">
        <f>AVERAGE(metrics!V$2:V$43)</f>
        <v>1516.6719512195125</v>
      </c>
      <c r="V2">
        <f>AVERAGE(metrics!W$2:W$43)</f>
        <v>2082.0363414634153</v>
      </c>
      <c r="W2">
        <f>AVERAGE(metrics!X$2:X$43)</f>
        <v>1629.7351219512195</v>
      </c>
      <c r="X2">
        <f>AVERAGE(metrics!Y$2:Y$43)</f>
        <v>0.8727748949506462</v>
      </c>
      <c r="Y2">
        <f>AVERAGE(metrics!Z$2:Z$43)</f>
        <v>0.38502237892827607</v>
      </c>
      <c r="Z2">
        <f>AVERAGE(metrics!AA$2:AA$43)</f>
        <v>0.36931114493368411</v>
      </c>
      <c r="AA2">
        <f>AVERAGE(metrics!AB$2:AB$43)</f>
        <v>0.97220904364444816</v>
      </c>
      <c r="AB2">
        <f>AVERAGE(metrics!AC$2:AC$43)</f>
        <v>0.65294661140351185</v>
      </c>
      <c r="AC2">
        <f>AVERAGE(metrics!AD$2:AD$43)</f>
        <v>0.61818832321516071</v>
      </c>
      <c r="AD2">
        <f>AVERAGE(metrics!AE$2:AE$43)</f>
        <v>0.53942981383758681</v>
      </c>
      <c r="AE2">
        <f>AVERAGE(metrics!AF$2:AF$43)</f>
        <v>0.31047538525428853</v>
      </c>
      <c r="AF2">
        <f>AVERAGE(metrics!AG$2:AG$43)</f>
        <v>0.6587881691057963</v>
      </c>
      <c r="AG2">
        <f>AVERAGE(metrics!AH$2:AH$43)</f>
        <v>0.8727748949506462</v>
      </c>
      <c r="AH2">
        <f>AVERAGE(metrics!AI$2:AI$43)</f>
        <v>0.38502237892827607</v>
      </c>
      <c r="AI2">
        <f>AVERAGE(metrics!AJ$2:AJ$43)</f>
        <v>0.37744190869234134</v>
      </c>
      <c r="AJ2">
        <f>AVERAGE(metrics!AK$2:AK$43)</f>
        <v>0.97275798103867595</v>
      </c>
      <c r="AK2">
        <f>AVERAGE(metrics!AL$2:AL$43)</f>
        <v>0.65294661140351185</v>
      </c>
      <c r="AL2">
        <f>AVERAGE(metrics!AM$2:AM$43)</f>
        <v>0.61851380457669913</v>
      </c>
      <c r="AM2">
        <f>AVERAGE(metrics!AN$2:AN$43)</f>
        <v>1.7510132916090622</v>
      </c>
      <c r="AN2">
        <f>AVERAGE(metrics!AO$2:AO$43)</f>
        <v>1.1792895616015164</v>
      </c>
      <c r="AO2">
        <f>AVERAGE(metrics!AP$2:AP$43)</f>
        <v>0.6587881691057963</v>
      </c>
    </row>
    <row r="3" spans="1:41" x14ac:dyDescent="0.25">
      <c r="A3" t="s">
        <v>83</v>
      </c>
      <c r="B3">
        <f>_xlfn.STDEV.S(metrics!C$2:C$43)</f>
        <v>250.10157647134784</v>
      </c>
      <c r="C3">
        <f>_xlfn.STDEV.S(metrics!D$2:D$43)</f>
        <v>177.30502939298719</v>
      </c>
      <c r="D3">
        <f>_xlfn.STDEV.S(metrics!E$2:E$43)</f>
        <v>181.44440614130261</v>
      </c>
      <c r="E3">
        <f>_xlfn.STDEV.S(metrics!F$2:F$43)</f>
        <v>255.78281413840023</v>
      </c>
      <c r="F3">
        <f>_xlfn.STDEV.S(metrics!G$2:G$43)</f>
        <v>294.47280776306286</v>
      </c>
      <c r="G3">
        <f>_xlfn.STDEV.S(metrics!H$2:H$43)</f>
        <v>248.59095603959653</v>
      </c>
      <c r="H3">
        <f>_xlfn.STDEV.S(metrics!I$2:I$43)</f>
        <v>508.67661759149161</v>
      </c>
      <c r="I3">
        <f>_xlfn.STDEV.S(metrics!J$2:J$43)</f>
        <v>537.29465762057168</v>
      </c>
      <c r="J3">
        <f>_xlfn.STDEV.S(metrics!K$2:K$43)</f>
        <v>406.04625724604227</v>
      </c>
      <c r="K3">
        <f>_xlfn.STDEV.S(metrics!L$2:L$43)</f>
        <v>3.6471667921492283</v>
      </c>
      <c r="L3">
        <f>_xlfn.STDEV.S(metrics!M$2:M$43)</f>
        <v>4.9738096936611127</v>
      </c>
      <c r="M3">
        <f>_xlfn.STDEV.S(metrics!N$2:N$43)</f>
        <v>146.89111314930096</v>
      </c>
      <c r="N3">
        <f>_xlfn.STDEV.S(metrics!O$2:O$43)</f>
        <v>86.537134287793734</v>
      </c>
      <c r="O3">
        <f>_xlfn.STDEV.S(metrics!P$2:P$43)</f>
        <v>303.4494938793901</v>
      </c>
      <c r="P3">
        <f>_xlfn.STDEV.S(metrics!Q$2:Q$43)</f>
        <v>143.18873740273588</v>
      </c>
      <c r="Q3">
        <f>_xlfn.STDEV.S(metrics!R$2:R$43)</f>
        <v>98.385977698376635</v>
      </c>
      <c r="R3">
        <f>_xlfn.STDEV.S(metrics!S$2:S$43)</f>
        <v>106.726842608132</v>
      </c>
      <c r="S3">
        <f>_xlfn.STDEV.S(metrics!T$2:T$43)</f>
        <v>81.24087530001259</v>
      </c>
      <c r="T3">
        <f>_xlfn.STDEV.S(metrics!U$2:U$43)</f>
        <v>90.447027508492226</v>
      </c>
      <c r="U3">
        <f>_xlfn.STDEV.S(metrics!V$2:V$43)</f>
        <v>90.05248001081128</v>
      </c>
      <c r="V3">
        <f>_xlfn.STDEV.S(metrics!W$2:W$43)</f>
        <v>237.68677657534596</v>
      </c>
      <c r="W3">
        <f>_xlfn.STDEV.S(metrics!X$2:X$43)</f>
        <v>279.1593698689166</v>
      </c>
      <c r="X3">
        <f>_xlfn.STDEV.S(metrics!Y$2:Y$43)</f>
        <v>5.4440715247744284E-2</v>
      </c>
      <c r="Y3">
        <f>_xlfn.STDEV.S(metrics!Z$2:Z$43)</f>
        <v>5.6062346279869738E-2</v>
      </c>
      <c r="Z3">
        <f>_xlfn.STDEV.S(metrics!AA$2:AA$43)</f>
        <v>8.4210825225822281E-2</v>
      </c>
      <c r="AA3">
        <f>_xlfn.STDEV.S(metrics!AB$2:AB$43)</f>
        <v>4.8291962981065618E-2</v>
      </c>
      <c r="AB3">
        <f>_xlfn.STDEV.S(metrics!AC$2:AC$43)</f>
        <v>2.4734332925566718E-2</v>
      </c>
      <c r="AC3">
        <f>_xlfn.STDEV.S(metrics!AD$2:AD$43)</f>
        <v>2.3527650995194167E-2</v>
      </c>
      <c r="AD3">
        <f>_xlfn.STDEV.S(metrics!AE$2:AE$43)</f>
        <v>6.0508357063974602E-2</v>
      </c>
      <c r="AE3">
        <f>_xlfn.STDEV.S(metrics!AF$2:AF$43)</f>
        <v>3.2461864959836571E-2</v>
      </c>
      <c r="AF3">
        <f>_xlfn.STDEV.S(metrics!AG$2:AG$43)</f>
        <v>0.10239573034757718</v>
      </c>
      <c r="AG3">
        <f>_xlfn.STDEV.S(metrics!AH$2:AH$43)</f>
        <v>5.4440715247744284E-2</v>
      </c>
      <c r="AH3">
        <f>_xlfn.STDEV.S(metrics!AI$2:AI$43)</f>
        <v>5.6062346279869738E-2</v>
      </c>
      <c r="AI3">
        <f>_xlfn.STDEV.S(metrics!AJ$2:AJ$43)</f>
        <v>5.8444557848547227E-2</v>
      </c>
      <c r="AJ3">
        <f>_xlfn.STDEV.S(metrics!AK$2:AK$43)</f>
        <v>4.7831880811119269E-2</v>
      </c>
      <c r="AK3">
        <f>_xlfn.STDEV.S(metrics!AL$2:AL$43)</f>
        <v>2.4734332925566718E-2</v>
      </c>
      <c r="AL3">
        <f>_xlfn.STDEV.S(metrics!AM$2:AM$43)</f>
        <v>2.3334492364904504E-2</v>
      </c>
      <c r="AM3">
        <f>_xlfn.STDEV.S(metrics!AN$2:AN$43)</f>
        <v>0.22527376934596816</v>
      </c>
      <c r="AN3">
        <f>_xlfn.STDEV.S(metrics!AO$2:AO$43)</f>
        <v>0.1708541340100112</v>
      </c>
      <c r="AO3">
        <f>_xlfn.STDEV.S(metrics!AP$2:AP$43)</f>
        <v>0.10239573034757718</v>
      </c>
    </row>
    <row r="4" spans="1:41" x14ac:dyDescent="0.25">
      <c r="A4" t="s">
        <v>84</v>
      </c>
      <c r="B4">
        <f>COUNT(metrics!C$2:C$43)</f>
        <v>37</v>
      </c>
      <c r="C4">
        <f>COUNT(metrics!D$2:D$43)</f>
        <v>37</v>
      </c>
      <c r="D4">
        <f>COUNT(metrics!E$2:E$43)</f>
        <v>37</v>
      </c>
      <c r="E4">
        <f>COUNT(metrics!F$2:F$43)</f>
        <v>37</v>
      </c>
      <c r="F4">
        <f>COUNT(metrics!G$2:G$43)</f>
        <v>37</v>
      </c>
      <c r="G4">
        <f>COUNT(metrics!H$2:H$43)</f>
        <v>42</v>
      </c>
      <c r="H4">
        <f>COUNT(metrics!I$2:I$43)</f>
        <v>42</v>
      </c>
      <c r="I4">
        <f>COUNT(metrics!J$2:J$43)</f>
        <v>42</v>
      </c>
      <c r="J4">
        <f>COUNT(metrics!K$2:K$43)</f>
        <v>42</v>
      </c>
      <c r="K4">
        <f>COUNT(metrics!L$2:L$43)</f>
        <v>42</v>
      </c>
      <c r="L4">
        <f>COUNT(metrics!M$2:M$43)</f>
        <v>42</v>
      </c>
      <c r="M4">
        <f>COUNT(metrics!N$2:N$43)</f>
        <v>42</v>
      </c>
      <c r="N4">
        <f>COUNT(metrics!O$2:O$43)</f>
        <v>42</v>
      </c>
      <c r="O4">
        <f>COUNT(metrics!P$2:P$43)</f>
        <v>42</v>
      </c>
      <c r="P4">
        <f>COUNT(metrics!Q$2:Q$43)</f>
        <v>42</v>
      </c>
      <c r="Q4">
        <f>COUNT(metrics!R$2:R$43)</f>
        <v>42</v>
      </c>
      <c r="R4">
        <f>COUNT(metrics!S$2:S$43)</f>
        <v>42</v>
      </c>
      <c r="S4">
        <f>COUNT(metrics!T$2:T$43)</f>
        <v>41</v>
      </c>
      <c r="T4">
        <f>COUNT(metrics!U$2:U$43)</f>
        <v>41</v>
      </c>
      <c r="U4">
        <f>COUNT(metrics!V$2:V$43)</f>
        <v>41</v>
      </c>
      <c r="V4">
        <f>COUNT(metrics!W$2:W$43)</f>
        <v>41</v>
      </c>
      <c r="W4">
        <f>COUNT(metrics!X$2:X$43)</f>
        <v>41</v>
      </c>
      <c r="X4">
        <f>COUNT(metrics!Y$2:Y$43)</f>
        <v>37</v>
      </c>
      <c r="Y4">
        <f>COUNT(metrics!Z$2:Z$43)</f>
        <v>37</v>
      </c>
      <c r="Z4">
        <f>COUNT(metrics!AA$2:AA$43)</f>
        <v>37</v>
      </c>
      <c r="AA4">
        <f>COUNT(metrics!AB$2:AB$43)</f>
        <v>41</v>
      </c>
      <c r="AB4">
        <f>COUNT(metrics!AC$2:AC$43)</f>
        <v>42</v>
      </c>
      <c r="AC4">
        <f>COUNT(metrics!AD$2:AD$43)</f>
        <v>41</v>
      </c>
      <c r="AD4">
        <f>COUNT(metrics!AE$2:AE$43)</f>
        <v>42</v>
      </c>
      <c r="AE4">
        <f>COUNT(metrics!AF$2:AF$43)</f>
        <v>42</v>
      </c>
      <c r="AF4">
        <f>COUNT(metrics!AG$2:AG$43)</f>
        <v>42</v>
      </c>
      <c r="AG4">
        <f>COUNT(metrics!AH$2:AH$43)</f>
        <v>37</v>
      </c>
      <c r="AH4">
        <f>COUNT(metrics!AI$2:AI$43)</f>
        <v>37</v>
      </c>
      <c r="AI4">
        <f>COUNT(metrics!AJ$2:AJ$43)</f>
        <v>37</v>
      </c>
      <c r="AJ4">
        <f>COUNT(metrics!AK$2:AK$43)</f>
        <v>42</v>
      </c>
      <c r="AK4">
        <f>COUNT(metrics!AL$2:AL$43)</f>
        <v>42</v>
      </c>
      <c r="AL4">
        <f>COUNT(metrics!AM$2:AM$43)</f>
        <v>42</v>
      </c>
      <c r="AM4">
        <f>COUNT(metrics!AN$2:AN$43)</f>
        <v>42</v>
      </c>
      <c r="AN4">
        <f>COUNT(metrics!AO$2:AO$43)</f>
        <v>42</v>
      </c>
      <c r="AO4">
        <f>COUNT(metrics!AP$2:AP$43)</f>
        <v>42</v>
      </c>
    </row>
    <row r="5" spans="1:41" x14ac:dyDescent="0.25">
      <c r="A5" t="s">
        <v>99</v>
      </c>
      <c r="B5">
        <f>AVERAGEIF(metrics!$B$1:$B$100, "resplendens", metrics!C1:C100)</f>
        <v>4161.6160869565219</v>
      </c>
      <c r="C5">
        <f>AVERAGEIF(metrics!$B$1:$B$100, "resplendens", metrics!D1:D100)</f>
        <v>3772.4682608695653</v>
      </c>
      <c r="D5">
        <f>AVERAGEIF(metrics!$B$1:$B$100, "resplendens", metrics!E1:E100)</f>
        <v>4810.8195652173927</v>
      </c>
      <c r="E5">
        <f>AVERAGEIF(metrics!$B$1:$B$100, "resplendens", metrics!F1:F100)</f>
        <v>1789.7213043478259</v>
      </c>
      <c r="F5">
        <f>AVERAGEIF(metrics!$B$1:$B$100, "resplendens", metrics!G1:G100)</f>
        <v>1846.7595652173911</v>
      </c>
      <c r="G5">
        <f>AVERAGEIF(metrics!$B$1:$B$100, "resplendens", metrics!H1:H100)</f>
        <v>5679.9613043478275</v>
      </c>
      <c r="H5">
        <f>AVERAGEIF(metrics!$B$1:$B$100, "resplendens", metrics!I1:I100)</f>
        <v>8561.3408695652179</v>
      </c>
      <c r="I5">
        <f>AVERAGEIF(metrics!$B$1:$B$100, "resplendens", metrics!J1:J100)</f>
        <v>8984.5852173913045</v>
      </c>
      <c r="J5">
        <f>AVERAGEIF(metrics!$B$1:$B$100, "resplendens", metrics!K1:K100)</f>
        <v>5585.8113043478252</v>
      </c>
      <c r="K5">
        <f>AVERAGEIF(metrics!$B$1:$B$100, "resplendens", metrics!L1:L100)</f>
        <v>148.97826086956522</v>
      </c>
      <c r="L5">
        <f>AVERAGEIF(metrics!$B$1:$B$100, "resplendens", metrics!M1:M100)</f>
        <v>151.4808695652174</v>
      </c>
      <c r="M5">
        <f>AVERAGEIF(metrics!$B$1:$B$100, "resplendens", metrics!N1:N100)</f>
        <v>1304.2026086956521</v>
      </c>
      <c r="N5">
        <f>AVERAGEIF(metrics!$B$1:$B$100, "resplendens", metrics!O1:O100)</f>
        <v>704.96086956521742</v>
      </c>
      <c r="O5">
        <f>AVERAGEIF(metrics!$B$1:$B$100, "resplendens", metrics!P1:P100)</f>
        <v>2339.9300000000007</v>
      </c>
      <c r="P5">
        <f>AVERAGEIF(metrics!$B$1:$B$100, "resplendens", metrics!Q1:Q100)</f>
        <v>859.73347826086956</v>
      </c>
      <c r="Q5">
        <f>AVERAGEIF(metrics!$B$1:$B$100, "resplendens", metrics!R1:R100)</f>
        <v>576.95304347826084</v>
      </c>
      <c r="R5">
        <f>AVERAGEIF(metrics!$B$1:$B$100, "resplendens", metrics!S1:S100)</f>
        <v>841.89304347826112</v>
      </c>
      <c r="S5">
        <f>AVERAGEIF(metrics!$B$1:$B$100, "resplendens", metrics!T1:T100)</f>
        <v>1464.046086956522</v>
      </c>
      <c r="T5">
        <f>AVERAGEIF(metrics!$B$1:$B$100, "resplendens", metrics!U1:U100)</f>
        <v>1475.3317391304347</v>
      </c>
      <c r="U5">
        <f>AVERAGEIF(metrics!$B$1:$B$100, "resplendens", metrics!V1:V100)</f>
        <v>1537.4304347826087</v>
      </c>
      <c r="V5">
        <f>AVERAGEIF(metrics!$B$1:$B$100, "resplendens", metrics!W1:W100)</f>
        <v>2184.2560869565218</v>
      </c>
      <c r="W5">
        <f>AVERAGEIF(metrics!$B$1:$B$100, "resplendens", metrics!X1:X100)</f>
        <v>1741.3686956521738</v>
      </c>
      <c r="X5">
        <f>AVERAGEIF(metrics!$B$1:$B$100, "resplendens", metrics!Y1:Y100)</f>
        <v>0.86537159569074429</v>
      </c>
      <c r="Y5">
        <f>AVERAGEIF(metrics!$B$1:$B$100, "resplendens", metrics!Z1:Z100)</f>
        <v>0.37179703707192369</v>
      </c>
      <c r="Z5">
        <f>AVERAGEIF(metrics!$B$1:$B$100, "resplendens", metrics!AA1:AA100)</f>
        <v>0.38379067107574988</v>
      </c>
      <c r="AA5">
        <f>AVERAGEIF(metrics!$B$1:$B$100, "resplendens", metrics!AB1:AB100)</f>
        <v>0.9835487528324971</v>
      </c>
      <c r="AB5">
        <f>AVERAGEIF(metrics!$B$1:$B$100, "resplendens", metrics!AC1:AC100)</f>
        <v>0.65259002628858365</v>
      </c>
      <c r="AC5">
        <f>AVERAGEIF(metrics!$B$1:$B$100, "resplendens", metrics!AD1:AD100)</f>
        <v>0.62159567471476496</v>
      </c>
      <c r="AD5">
        <f>AVERAGEIF(metrics!$B$1:$B$100, "resplendens", metrics!AE1:AE100)</f>
        <v>0.54248573415756096</v>
      </c>
      <c r="AE5">
        <f>AVERAGEIF(metrics!$B$1:$B$100, "resplendens", metrics!AF1:AF100)</f>
        <v>0.3014807610713815</v>
      </c>
      <c r="AF5">
        <f>AVERAGEIF(metrics!$B$1:$B$100, "resplendens", metrics!AG1:AG100)</f>
        <v>0.68878163609201171</v>
      </c>
      <c r="AG5">
        <f>AVERAGEIF(metrics!$B$1:$B$100, "resplendens", metrics!AH1:AH100)</f>
        <v>0.86537159569074429</v>
      </c>
      <c r="AH5">
        <f>AVERAGEIF(metrics!$B$1:$B$100, "resplendens", metrics!AI1:AI100)</f>
        <v>0.37179703707192369</v>
      </c>
      <c r="AI5">
        <f>AVERAGEIF(metrics!$B$1:$B$100, "resplendens", metrics!AJ1:AJ100)</f>
        <v>0.38379067107574988</v>
      </c>
      <c r="AJ5">
        <f>AVERAGEIF(metrics!$B$1:$B$100, "resplendens", metrics!AK1:AK100)</f>
        <v>0.9835487528324971</v>
      </c>
      <c r="AK5">
        <f>AVERAGEIF(metrics!$B$1:$B$100, "resplendens", metrics!AL1:AL100)</f>
        <v>0.65259002628858365</v>
      </c>
      <c r="AL5">
        <f>AVERAGEIF(metrics!$B$1:$B$100, "resplendens", metrics!AM1:AM100)</f>
        <v>0.62204188626628731</v>
      </c>
      <c r="AM5">
        <f>AVERAGEIF(metrics!$B$1:$B$100, "resplendens", metrics!AN1:AN100)</f>
        <v>1.8075030831870946</v>
      </c>
      <c r="AN5">
        <f>AVERAGEIF(metrics!$B$1:$B$100, "resplendens", metrics!AO1:AO100)</f>
        <v>1.2267997444351195</v>
      </c>
      <c r="AO5">
        <f>AVERAGEIF(metrics!$B$1:$B$100, "resplendens", metrics!AP1:AP100)</f>
        <v>0.68878163609201171</v>
      </c>
    </row>
    <row r="6" spans="1:41" x14ac:dyDescent="0.25">
      <c r="A6" t="s">
        <v>100</v>
      </c>
      <c r="B6">
        <f>AVERAGEIF(metrics!$B$2:$B$101, "kalinini", metrics!C2:C101)</f>
        <v>4002.6566666666663</v>
      </c>
      <c r="C6">
        <f>AVERAGEIF(metrics!$B$2:$B$101, "kalinini", metrics!D2:D101)</f>
        <v>3609.3849999999998</v>
      </c>
      <c r="D6">
        <f>AVERAGEIF(metrics!$B$2:$B$101, "kalinini", metrics!E2:E101)</f>
        <v>4608.2699999999995</v>
      </c>
      <c r="E6">
        <f>AVERAGEIF(metrics!$B$2:$B$101, "kalinini", metrics!F2:F101)</f>
        <v>1658.2066666666667</v>
      </c>
      <c r="F6">
        <f>AVERAGEIF(metrics!$B$2:$B$101, "kalinini", metrics!G2:G101)</f>
        <v>1854.68</v>
      </c>
      <c r="G6">
        <f>AVERAGEIF(metrics!$B$2:$B$101, "kalinini", metrics!H2:H101)</f>
        <v>5490.7527272727275</v>
      </c>
      <c r="H6">
        <f>AVERAGEIF(metrics!$B$2:$B$101, "kalinini", metrics!I2:I101)</f>
        <v>8238.2672727272748</v>
      </c>
      <c r="I6">
        <f>AVERAGEIF(metrics!$B$2:$B$101, "kalinini", metrics!J2:J101)</f>
        <v>8718.5545454545463</v>
      </c>
      <c r="J6">
        <f>AVERAGEIF(metrics!$B$2:$B$101, "kalinini", metrics!K2:K101)</f>
        <v>5458.3981818181819</v>
      </c>
      <c r="K6">
        <f>AVERAGEIF(metrics!$B$2:$B$101, "kalinini", metrics!L2:L101)</f>
        <v>151.62181818181818</v>
      </c>
      <c r="L6">
        <f>AVERAGEIF(metrics!$B$2:$B$101, "kalinini", metrics!M2:M101)</f>
        <v>153.05181818181816</v>
      </c>
      <c r="M6">
        <f>AVERAGEIF(metrics!$B$2:$B$101, "kalinini", metrics!N2:N101)</f>
        <v>1228.2972727272727</v>
      </c>
      <c r="N6">
        <f>AVERAGEIF(metrics!$B$2:$B$101, "kalinini", metrics!O2:O101)</f>
        <v>686.44</v>
      </c>
      <c r="O6">
        <f>AVERAGEIF(metrics!$B$2:$B$101, "kalinini", metrics!P2:P101)</f>
        <v>2271.7190909090905</v>
      </c>
      <c r="P6">
        <f>AVERAGEIF(metrics!$B$2:$B$101, "kalinini", metrics!Q2:Q101)</f>
        <v>732.17090909090905</v>
      </c>
      <c r="Q6">
        <f>AVERAGEIF(metrics!$B$2:$B$101, "kalinini", metrics!R2:R101)</f>
        <v>503.51999999999992</v>
      </c>
      <c r="R6">
        <f>AVERAGEIF(metrics!$B$2:$B$101, "kalinini", metrics!S2:S101)</f>
        <v>829.05818181818188</v>
      </c>
      <c r="S6">
        <f>AVERAGEIF(metrics!$B$2:$B$101, "kalinini", metrics!T2:T101)</f>
        <v>1402.4839999999999</v>
      </c>
      <c r="T6">
        <f>AVERAGEIF(metrics!$B$2:$B$101, "kalinini", metrics!U2:U101)</f>
        <v>1397.5</v>
      </c>
      <c r="U6">
        <f>AVERAGEIF(metrics!$B$2:$B$101, "kalinini", metrics!V2:V101)</f>
        <v>1451.6</v>
      </c>
      <c r="V6">
        <f>AVERAGEIF(metrics!$B$2:$B$101, "kalinini", metrics!W2:W101)</f>
        <v>1935.3430000000001</v>
      </c>
      <c r="W6">
        <f>AVERAGEIF(metrics!$B$2:$B$101, "kalinini", metrics!X2:X101)</f>
        <v>1543.7769999999998</v>
      </c>
      <c r="X6">
        <f>AVERAGEIF(metrics!$B$2:$B$101, "kalinini", metrics!Y2:Y101)</f>
        <v>0.86876520630989462</v>
      </c>
      <c r="Y6">
        <f>AVERAGEIF(metrics!$B$2:$B$101, "kalinini", metrics!Z2:Z101)</f>
        <v>0.3593525361036638</v>
      </c>
      <c r="Z6">
        <f>AVERAGEIF(metrics!$B$2:$B$101, "kalinini", metrics!AA2:AA101)</f>
        <v>0.40307559016963929</v>
      </c>
      <c r="AA6">
        <f>AVERAGEIF(metrics!$B$2:$B$101, "kalinini", metrics!AB2:AB101)</f>
        <v>0.99393927273912797</v>
      </c>
      <c r="AB6">
        <f>AVERAGEIF(metrics!$B$2:$B$101, "kalinini", metrics!AC2:AC101)</f>
        <v>0.6624312831734579</v>
      </c>
      <c r="AC6">
        <f>AVERAGEIF(metrics!$B$2:$B$101, "kalinini", metrics!AD2:AD101)</f>
        <v>0.62617987592756474</v>
      </c>
      <c r="AD6">
        <f>AVERAGEIF(metrics!$B$2:$B$101, "kalinini", metrics!AE2:AE101)</f>
        <v>0.56297788896777379</v>
      </c>
      <c r="AE6">
        <f>AVERAGEIF(metrics!$B$2:$B$101, "kalinini", metrics!AF2:AF101)</f>
        <v>0.30281064326798357</v>
      </c>
      <c r="AF6">
        <f>AVERAGEIF(metrics!$B$2:$B$101, "kalinini", metrics!AG2:AG101)</f>
        <v>0.61224194529873122</v>
      </c>
      <c r="AG6">
        <f>AVERAGEIF(metrics!$B$2:$B$101, "kalinini", metrics!AH2:AH101)</f>
        <v>0.86876520630989462</v>
      </c>
      <c r="AH6">
        <f>AVERAGEIF(metrics!$B$2:$B$101, "kalinini", metrics!AI2:AI101)</f>
        <v>0.3593525361036638</v>
      </c>
      <c r="AI6">
        <f>AVERAGEIF(metrics!$B$2:$B$101, "kalinini", metrics!AJ2:AJ101)</f>
        <v>0.40307559016963929</v>
      </c>
      <c r="AJ6">
        <f>AVERAGEIF(metrics!$B$2:$B$101, "kalinini", metrics!AK2:AK101)</f>
        <v>0.994059740144844</v>
      </c>
      <c r="AK6">
        <f>AVERAGEIF(metrics!$B$2:$B$101, "kalinini", metrics!AL2:AL101)</f>
        <v>0.6624312831734579</v>
      </c>
      <c r="AL6">
        <f>AVERAGEIF(metrics!$B$2:$B$101, "kalinini", metrics!AM2:AM101)</f>
        <v>0.62617987592756474</v>
      </c>
      <c r="AM6">
        <f>AVERAGEIF(metrics!$B$2:$B$101, "kalinini", metrics!AN2:AN101)</f>
        <v>1.8628758082748254</v>
      </c>
      <c r="AN6">
        <f>AVERAGEIF(metrics!$B$2:$B$101, "kalinini", metrics!AO2:AO101)</f>
        <v>1.0624524844486192</v>
      </c>
      <c r="AO6">
        <f>AVERAGEIF(metrics!$B$2:$B$101, "kalinini", metrics!AP2:AP101)</f>
        <v>0.61224194529873122</v>
      </c>
    </row>
    <row r="7" spans="1:41" x14ac:dyDescent="0.25">
      <c r="A7" t="s">
        <v>101</v>
      </c>
      <c r="B7">
        <f>_xlfn.STDEV.S('by species'!C$2:$C$12)</f>
        <v>198.70709787691692</v>
      </c>
      <c r="C7">
        <f>_xlfn.STDEV.S('by species'!$C$2:D$12)</f>
        <v>257.20492814656325</v>
      </c>
      <c r="D7">
        <f>_xlfn.STDEV.S('by species'!$C$2:E$12)</f>
        <v>445.18467267634605</v>
      </c>
      <c r="E7">
        <f>_xlfn.STDEV.S('by species'!$C$2:F$12)</f>
        <v>1145.5027388746771</v>
      </c>
      <c r="F7">
        <f>_xlfn.STDEV.S('by species'!$C$2:G$12)</f>
        <v>1215.4484478365032</v>
      </c>
      <c r="G7">
        <f>_xlfn.STDEV.S('by species'!$C$2:H$12)</f>
        <v>1478.6376155471985</v>
      </c>
      <c r="H7">
        <f>_xlfn.STDEV.S('by species'!$C$2:I$12)</f>
        <v>2261.9408039735144</v>
      </c>
      <c r="I7">
        <f>_xlfn.STDEV.S('by species'!$C$2:J$12)</f>
        <v>2564.0104482712677</v>
      </c>
      <c r="J7">
        <f>_xlfn.STDEV.S('by species'!$C$2:K$12)</f>
        <v>2364.9688312536723</v>
      </c>
      <c r="K7">
        <f>_xlfn.STDEV.S('by species'!$C$2:L$12)</f>
        <v>2833.6542258487134</v>
      </c>
      <c r="L7">
        <f>_xlfn.STDEV.S('by species'!$C$2:M$12)</f>
        <v>3042.7611721592543</v>
      </c>
      <c r="M7">
        <f>_xlfn.STDEV.S('by species'!$C$2:N$12)</f>
        <v>3021.6314251627068</v>
      </c>
      <c r="N7">
        <f>_xlfn.STDEV.S('by species'!$C$2:O$12)</f>
        <v>3026.0981178507391</v>
      </c>
      <c r="O7">
        <f>_xlfn.STDEV.S('by species'!$C$2:P$12)</f>
        <v>2917.5825618941203</v>
      </c>
      <c r="P7">
        <f>_xlfn.STDEV.S('by species'!$C$2:Q$12)</f>
        <v>2897.5841481294133</v>
      </c>
      <c r="Q7">
        <f>_xlfn.STDEV.S('by species'!$C$2:R$12)</f>
        <v>2881.6037138101437</v>
      </c>
      <c r="R7">
        <f>_xlfn.STDEV.S('by species'!$C$2:S$12)</f>
        <v>2838.6666671962266</v>
      </c>
      <c r="S7">
        <f>_xlfn.STDEV.S('by species'!$C$2:T$12)</f>
        <v>2777.4425981240292</v>
      </c>
      <c r="T7">
        <f>_xlfn.STDEV.S('by species'!$C$2:U$12)</f>
        <v>2719.5696120809357</v>
      </c>
      <c r="U7">
        <f>_xlfn.STDEV.S('by species'!$C$2:V$12)</f>
        <v>2663.3709100904789</v>
      </c>
      <c r="V7">
        <f>_xlfn.STDEV.S('by species'!$C$2:W$12)</f>
        <v>2601.6913373416305</v>
      </c>
      <c r="W7">
        <f>_xlfn.STDEV.S('by species'!$C$2:X$12)</f>
        <v>2550.7789959225825</v>
      </c>
      <c r="X7">
        <f>_xlfn.STDEV.S('by species'!$C$2:Y$12)</f>
        <v>2551.0674522727736</v>
      </c>
      <c r="Y7">
        <f>_xlfn.STDEV.S('by species'!$C$2:Z$12)</f>
        <v>2549.4999428403617</v>
      </c>
      <c r="Z7">
        <f>_xlfn.STDEV.S('by species'!$C$2:AA$12)</f>
        <v>2546.346025781907</v>
      </c>
      <c r="AA7">
        <f>_xlfn.STDEV.S('by species'!$C$2:AB$12)</f>
        <v>2538.1787764964911</v>
      </c>
      <c r="AB7">
        <f>_xlfn.STDEV.S('by species'!$C$2:AC$12)</f>
        <v>2525.9370511351572</v>
      </c>
      <c r="AC7">
        <f>_xlfn.STDEV.S('by species'!$C$2:AD$12)</f>
        <v>2511.1319074165135</v>
      </c>
      <c r="AD7">
        <f>_xlfn.STDEV.S('by species'!$C$2:AE$12)</f>
        <v>2494.4386285858623</v>
      </c>
      <c r="AE7">
        <f>_xlfn.STDEV.S('by species'!$C$2:AF$12)</f>
        <v>2476.3752329362123</v>
      </c>
      <c r="AF7">
        <f>_xlfn.STDEV.S('by species'!$C$2:AG$12)</f>
        <v>2457.3164687695948</v>
      </c>
      <c r="AG7">
        <f>_xlfn.STDEV.S('by species'!$C$2:AH$12)</f>
        <v>2446.6128637935672</v>
      </c>
      <c r="AH7">
        <f>_xlfn.STDEV.S('by species'!$C$2:AI$12)</f>
        <v>2435.7550174584535</v>
      </c>
      <c r="AI7">
        <f>_xlfn.STDEV.S('by species'!$C$2:AJ$12)</f>
        <v>2424.7693677620186</v>
      </c>
      <c r="AJ7">
        <f>_xlfn.STDEV.S('by species'!$C$2:AK$12)</f>
        <v>2404.3830178176795</v>
      </c>
      <c r="AK7">
        <f>_xlfn.STDEV.S('by species'!$C$2:AL$12)</f>
        <v>2383.8341804697311</v>
      </c>
      <c r="AL7">
        <f>_xlfn.STDEV.S('by species'!$C$2:AM$12)</f>
        <v>2363.2367133809012</v>
      </c>
      <c r="AM7">
        <f>_xlfn.STDEV.S('by species'!$C$2:AN$12)</f>
        <v>2342.6594958261153</v>
      </c>
      <c r="AN7">
        <f>_xlfn.STDEV.S('by species'!$C$2:AO$12)</f>
        <v>2322.2196311697271</v>
      </c>
      <c r="AO7">
        <f>_xlfn.STDEV.S('by species'!$C$2:AP$12)</f>
        <v>2301.9655229775594</v>
      </c>
    </row>
    <row r="8" spans="1:41" x14ac:dyDescent="0.25">
      <c r="A8" t="s">
        <v>102</v>
      </c>
      <c r="B8">
        <f>_xlfn.STDEV.S('by species'!C$14:C$36)</f>
        <v>266.19383951855173</v>
      </c>
      <c r="C8">
        <f>_xlfn.STDEV.S('by species'!D$14:D$36)</f>
        <v>173.33787378339176</v>
      </c>
      <c r="D8">
        <f>_xlfn.STDEV.S('by species'!E$14:E$36)</f>
        <v>137.79029047724066</v>
      </c>
      <c r="E8">
        <f>_xlfn.STDEV.S('by species'!F$14:F$36)</f>
        <v>247.29095855810226</v>
      </c>
      <c r="F8">
        <f>_xlfn.STDEV.S('by species'!G$14:G$36)</f>
        <v>322.39702617450865</v>
      </c>
      <c r="G8">
        <f>_xlfn.STDEV.S('by species'!H$14:H$36)</f>
        <v>208.08637064503131</v>
      </c>
      <c r="H8">
        <f>_xlfn.STDEV.S('by species'!I$14:I$36)</f>
        <v>346.19238344272526</v>
      </c>
      <c r="I8">
        <f>_xlfn.STDEV.S('by species'!J$14:J$36)</f>
        <v>446.50345580327701</v>
      </c>
      <c r="J8">
        <f>_xlfn.STDEV.S('by species'!K$14:K$36)</f>
        <v>317.4824750396661</v>
      </c>
      <c r="K8">
        <f>_xlfn.STDEV.S('by species'!L$14:L$36)</f>
        <v>3.3148366916772996</v>
      </c>
      <c r="L8">
        <f>_xlfn.STDEV.S('by species'!M$14:M$36)</f>
        <v>5.2730325180828252</v>
      </c>
      <c r="M8">
        <f>_xlfn.STDEV.S('by species'!N$14:N$36)</f>
        <v>146.12113132657612</v>
      </c>
      <c r="N8">
        <f>_xlfn.STDEV.S('by species'!O$14:O$36)</f>
        <v>86.710792759769589</v>
      </c>
      <c r="O8">
        <f>_xlfn.STDEV.S('by species'!P$14:P$36)</f>
        <v>171.06982697132773</v>
      </c>
      <c r="P8">
        <f>_xlfn.STDEV.S('by species'!Q$14:Q$36)</f>
        <v>143.7471655881418</v>
      </c>
      <c r="Q8">
        <f>_xlfn.STDEV.S('by species'!R$14:R$36)</f>
        <v>89.781361774782965</v>
      </c>
      <c r="R8">
        <f>_xlfn.STDEV.S('by species'!S$14:S$36)</f>
        <v>84.780798288869761</v>
      </c>
      <c r="S8">
        <f>_xlfn.STDEV.S('by species'!T$14:T$36)</f>
        <v>90.263265745722961</v>
      </c>
      <c r="T8">
        <f>_xlfn.STDEV.S('by species'!U$14:U$36)</f>
        <v>93.11597883832701</v>
      </c>
      <c r="U8">
        <f>_xlfn.STDEV.S('by species'!V$14:V$36)</f>
        <v>87.185623422790044</v>
      </c>
      <c r="V8">
        <f>_xlfn.STDEV.S('by species'!W$14:W$36)</f>
        <v>241.28725833328355</v>
      </c>
      <c r="W8">
        <f>_xlfn.STDEV.S('by species'!X$14:X$36)</f>
        <v>265.31227957574248</v>
      </c>
      <c r="X8">
        <f>_xlfn.STDEV.S('by species'!Y$14:Y$36)</f>
        <v>5.4989774858914028E-2</v>
      </c>
      <c r="Y8">
        <f>_xlfn.STDEV.S('by species'!Z$14:Z$36)</f>
        <v>4.8744392807803932E-2</v>
      </c>
      <c r="Z8">
        <f>_xlfn.STDEV.S('by species'!AA$14:AA$36)</f>
        <v>6.5264748741435286E-2</v>
      </c>
      <c r="AA8">
        <f>_xlfn.STDEV.S('by species'!AB$14:AB$36)</f>
        <v>4.4877671784073606E-2</v>
      </c>
      <c r="AB8">
        <f>_xlfn.STDEV.S('by species'!AC$14:AC$36)</f>
        <v>2.8873088668450245E-2</v>
      </c>
      <c r="AC8">
        <f>_xlfn.STDEV.S('by species'!AD$14:AD$36)</f>
        <v>2.6436535261989958E-2</v>
      </c>
      <c r="AD8">
        <f>_xlfn.STDEV.S('by species'!AE$14:AE$36)</f>
        <v>5.4781229745183388E-2</v>
      </c>
      <c r="AE8">
        <f>_xlfn.STDEV.S('by species'!AF$14:AF$36)</f>
        <v>3.1361180168163999E-2</v>
      </c>
      <c r="AF8">
        <f>_xlfn.STDEV.S('by species'!AG$14:AG$36)</f>
        <v>0.11199986556367304</v>
      </c>
      <c r="AG8">
        <f>_xlfn.STDEV.S('by species'!AH$14:AH$36)</f>
        <v>5.4989774858914028E-2</v>
      </c>
      <c r="AH8">
        <f>_xlfn.STDEV.S('by species'!AI$14:AI$36)</f>
        <v>4.8744392807803932E-2</v>
      </c>
      <c r="AI8">
        <f>_xlfn.STDEV.S('by species'!AJ$14:AJ$36)</f>
        <v>6.5264748741435286E-2</v>
      </c>
      <c r="AJ8">
        <f>_xlfn.STDEV.S('by species'!AK$14:AK$36)</f>
        <v>4.4877671784073613E-2</v>
      </c>
      <c r="AK8">
        <f>_xlfn.STDEV.S('by species'!AL$14:AL$36)</f>
        <v>2.8873088668450245E-2</v>
      </c>
      <c r="AL8">
        <f>_xlfn.STDEV.S('by species'!AM$14:AM$36)</f>
        <v>2.5917215525132251E-2</v>
      </c>
      <c r="AM8">
        <f>_xlfn.STDEV.S('by species'!AN$14:AN$36)</f>
        <v>0.16686860125777933</v>
      </c>
      <c r="AN8">
        <f>_xlfn.STDEV.S('by species'!AO$14:AO$36)</f>
        <v>0.19240163823728107</v>
      </c>
      <c r="AO8">
        <f>_xlfn.STDEV.S('by species'!AP$14:AP$36)</f>
        <v>0.11199986556367304</v>
      </c>
    </row>
    <row r="9" spans="1:41" x14ac:dyDescent="0.25">
      <c r="A9" t="s">
        <v>104</v>
      </c>
      <c r="B9">
        <f>COUNT('by species'!C$2:C$12)</f>
        <v>6</v>
      </c>
      <c r="C9">
        <f>COUNT('by species'!D$2:D$12)</f>
        <v>6</v>
      </c>
      <c r="D9">
        <f>COUNT('by species'!E$2:E$12)</f>
        <v>6</v>
      </c>
      <c r="E9">
        <f>COUNT('by species'!F$2:F$12)</f>
        <v>6</v>
      </c>
      <c r="F9">
        <f>COUNT('by species'!G$2:G$12)</f>
        <v>6</v>
      </c>
      <c r="G9">
        <f>COUNT('by species'!H$2:H$12)</f>
        <v>11</v>
      </c>
      <c r="H9">
        <f>COUNT('by species'!I$2:I$12)</f>
        <v>11</v>
      </c>
      <c r="I9">
        <f>COUNT('by species'!J$2:J$12)</f>
        <v>11</v>
      </c>
      <c r="J9">
        <f>COUNT('by species'!K$2:K$12)</f>
        <v>11</v>
      </c>
      <c r="K9">
        <f>COUNT('by species'!L$2:L$12)</f>
        <v>11</v>
      </c>
      <c r="L9">
        <f>COUNT('by species'!M$2:M$12)</f>
        <v>11</v>
      </c>
      <c r="M9">
        <f>COUNT('by species'!N$2:N$12)</f>
        <v>11</v>
      </c>
      <c r="N9">
        <f>COUNT('by species'!O$2:O$12)</f>
        <v>11</v>
      </c>
      <c r="O9">
        <f>COUNT('by species'!P$2:P$12)</f>
        <v>11</v>
      </c>
      <c r="P9">
        <f>COUNT('by species'!Q$2:Q$12)</f>
        <v>11</v>
      </c>
      <c r="Q9">
        <f>COUNT('by species'!R$2:R$12)</f>
        <v>11</v>
      </c>
      <c r="R9">
        <f>COUNT('by species'!S$2:S$12)</f>
        <v>11</v>
      </c>
      <c r="S9">
        <f>COUNT('by species'!T$2:T$12)</f>
        <v>10</v>
      </c>
      <c r="T9">
        <f>COUNT('by species'!U$2:U$12)</f>
        <v>10</v>
      </c>
      <c r="U9">
        <f>COUNT('by species'!V$2:V$12)</f>
        <v>10</v>
      </c>
      <c r="V9">
        <f>COUNT('by species'!W$2:W$12)</f>
        <v>10</v>
      </c>
      <c r="W9">
        <f>COUNT('by species'!X$2:X$12)</f>
        <v>10</v>
      </c>
      <c r="X9">
        <f>COUNT('by species'!Y$2:Y$12)</f>
        <v>6</v>
      </c>
      <c r="Y9">
        <f>COUNT('by species'!Z$2:Z$12)</f>
        <v>6</v>
      </c>
      <c r="Z9">
        <f>COUNT('by species'!AA$2:AA$12)</f>
        <v>6</v>
      </c>
      <c r="AA9">
        <f>COUNT('by species'!AB$2:AB$12)</f>
        <v>10</v>
      </c>
      <c r="AB9">
        <f>COUNT('by species'!AC$2:AC$12)</f>
        <v>11</v>
      </c>
      <c r="AC9">
        <f>COUNT('by species'!AD$2:AD$12)</f>
        <v>11</v>
      </c>
      <c r="AD9">
        <f>COUNT('by species'!AE$2:AE$12)</f>
        <v>11</v>
      </c>
      <c r="AE9">
        <f>COUNT('by species'!AF$2:AF$12)</f>
        <v>11</v>
      </c>
      <c r="AF9">
        <f>COUNT('by species'!AG$2:AG$12)</f>
        <v>11</v>
      </c>
      <c r="AG9">
        <f>COUNT('by species'!AH$2:AH$12)</f>
        <v>6</v>
      </c>
      <c r="AH9">
        <f>COUNT('by species'!AI$2:AI$12)</f>
        <v>6</v>
      </c>
      <c r="AI9">
        <f>COUNT('by species'!AJ$2:AJ$12)</f>
        <v>6</v>
      </c>
      <c r="AJ9">
        <f>COUNT('by species'!AK$2:AK$12)</f>
        <v>11</v>
      </c>
      <c r="AK9">
        <f>COUNT('by species'!AL$2:AL$12)</f>
        <v>11</v>
      </c>
      <c r="AL9">
        <f>COUNT('by species'!AM$2:AM$12)</f>
        <v>11</v>
      </c>
      <c r="AM9">
        <f>COUNT('by species'!AN$2:AN$12)</f>
        <v>11</v>
      </c>
      <c r="AN9">
        <f>COUNT('by species'!AO$2:AO$12)</f>
        <v>11</v>
      </c>
      <c r="AO9">
        <f>COUNT('by species'!AP$2:AP$12)</f>
        <v>11</v>
      </c>
    </row>
    <row r="10" spans="1:41" x14ac:dyDescent="0.25">
      <c r="A10" t="s">
        <v>105</v>
      </c>
      <c r="B10">
        <f>COUNT('by species'!C$14:C$36)</f>
        <v>23</v>
      </c>
      <c r="C10">
        <f>COUNT('by species'!D$14:D$36)</f>
        <v>23</v>
      </c>
      <c r="D10">
        <f>COUNT('by species'!E$14:E$36)</f>
        <v>23</v>
      </c>
      <c r="E10">
        <f>COUNT('by species'!F$14:F$36)</f>
        <v>23</v>
      </c>
      <c r="F10">
        <f>COUNT('by species'!G$14:G$36)</f>
        <v>23</v>
      </c>
      <c r="G10">
        <f>COUNT('by species'!H$14:H$36)</f>
        <v>23</v>
      </c>
      <c r="H10">
        <f>COUNT('by species'!I$14:I$36)</f>
        <v>23</v>
      </c>
      <c r="I10">
        <f>COUNT('by species'!J$14:J$36)</f>
        <v>23</v>
      </c>
      <c r="J10">
        <f>COUNT('by species'!K$14:K$36)</f>
        <v>23</v>
      </c>
      <c r="K10">
        <f>COUNT('by species'!L$14:L$36)</f>
        <v>23</v>
      </c>
      <c r="L10">
        <f>COUNT('by species'!M$14:M$36)</f>
        <v>23</v>
      </c>
      <c r="M10">
        <f>COUNT('by species'!N$14:N$36)</f>
        <v>23</v>
      </c>
      <c r="N10">
        <f>COUNT('by species'!O$14:O$36)</f>
        <v>23</v>
      </c>
      <c r="O10">
        <f>COUNT('by species'!P$14:P$36)</f>
        <v>23</v>
      </c>
      <c r="P10">
        <f>COUNT('by species'!Q$14:Q$36)</f>
        <v>23</v>
      </c>
      <c r="Q10">
        <f>COUNT('by species'!R$14:R$36)</f>
        <v>23</v>
      </c>
      <c r="R10">
        <f>COUNT('by species'!S$14:S$36)</f>
        <v>23</v>
      </c>
      <c r="S10">
        <f>COUNT('by species'!T$14:T$36)</f>
        <v>23</v>
      </c>
      <c r="T10">
        <f>COUNT('by species'!U$14:U$36)</f>
        <v>23</v>
      </c>
      <c r="U10">
        <f>COUNT('by species'!V$14:V$36)</f>
        <v>23</v>
      </c>
      <c r="V10">
        <f>COUNT('by species'!W$14:W$36)</f>
        <v>23</v>
      </c>
      <c r="W10">
        <f>COUNT('by species'!X$14:X$36)</f>
        <v>23</v>
      </c>
      <c r="X10">
        <f>COUNT('by species'!Y$14:Y$36)</f>
        <v>23</v>
      </c>
      <c r="Y10">
        <f>COUNT('by species'!Z$14:Z$36)</f>
        <v>23</v>
      </c>
      <c r="Z10">
        <f>COUNT('by species'!AA$14:AA$36)</f>
        <v>23</v>
      </c>
      <c r="AA10">
        <f>COUNT('by species'!AB$14:AB$36)</f>
        <v>23</v>
      </c>
      <c r="AB10">
        <f>COUNT('by species'!AC$14:AC$36)</f>
        <v>23</v>
      </c>
      <c r="AC10">
        <f>COUNT('by species'!AD$14:AD$36)</f>
        <v>22</v>
      </c>
      <c r="AD10">
        <f>COUNT('by species'!AE$14:AE$36)</f>
        <v>23</v>
      </c>
      <c r="AE10">
        <f>COUNT('by species'!AF$14:AF$36)</f>
        <v>23</v>
      </c>
      <c r="AF10">
        <f>COUNT('by species'!AG$14:AG$36)</f>
        <v>23</v>
      </c>
      <c r="AG10">
        <f>COUNT('by species'!AH$14:AH$36)</f>
        <v>23</v>
      </c>
      <c r="AH10">
        <f>COUNT('by species'!AI$14:AI$36)</f>
        <v>23</v>
      </c>
      <c r="AI10">
        <f>COUNT('by species'!AJ$14:AJ$36)</f>
        <v>23</v>
      </c>
      <c r="AJ10">
        <f>COUNT('by species'!AK$14:AK$36)</f>
        <v>23</v>
      </c>
      <c r="AK10">
        <f>COUNT('by species'!AL$14:AL$36)</f>
        <v>23</v>
      </c>
      <c r="AL10">
        <f>COUNT('by species'!AM$14:AM$36)</f>
        <v>23</v>
      </c>
      <c r="AM10">
        <f>COUNT('by species'!AN$14:AN$36)</f>
        <v>23</v>
      </c>
      <c r="AN10">
        <f>COUNT('by species'!AO$14:AO$36)</f>
        <v>23</v>
      </c>
      <c r="AO10">
        <f>COUNT('by species'!AP$14:AP$36)</f>
        <v>23</v>
      </c>
    </row>
    <row r="17" spans="2:3" x14ac:dyDescent="0.25">
      <c r="B17">
        <f>GetShapiroCoefficients(6)</f>
        <v>0.6431</v>
      </c>
      <c r="C17" t="e">
        <f>GetShapiroCoefficientsList(C4:C5)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metrics</vt:lpstr>
      <vt:lpstr>by species</vt:lpstr>
      <vt:lpstr>averages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 Soto Monge</dc:creator>
  <cp:lastModifiedBy>ABC</cp:lastModifiedBy>
  <dcterms:created xsi:type="dcterms:W3CDTF">2025-05-13T16:24:07Z</dcterms:created>
  <dcterms:modified xsi:type="dcterms:W3CDTF">2025-05-13T18:15:24Z</dcterms:modified>
</cp:coreProperties>
</file>